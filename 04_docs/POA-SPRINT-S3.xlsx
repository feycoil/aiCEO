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-Couverture" sheetId="1" state="visible" r:id="rId3"/>
    <sheet name="1-Issues" sheetId="2" state="visible" r:id="rId4"/>
    <sheet name="2-Budget" sheetId="3" state="visible" r:id="rId5"/>
    <sheet name="3-Acceptance" sheetId="4" state="visible" r:id="rId6"/>
    <sheet name="4-Planning" sheetId="5" state="visible" r:id="rId7"/>
    <sheet name="5-Risqu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<sst xmlns="http://schemas.openxmlformats.org/spreadsheetml/2006/main" count="291" uniqueCount="235">
  <si>
    <t xml:space="preserve">POA Sprint S3 — aiCEO v0.5</t>
  </si>
  <si>
    <t xml:space="preserve">Agenda hebdo + Revues + SSE live + Outlook autosync</t>
  </si>
  <si>
    <t xml:space="preserve">Sprint</t>
  </si>
  <si>
    <t xml:space="preserve">S3</t>
  </si>
  <si>
    <t xml:space="preserve">Démarrage</t>
  </si>
  <si>
    <t xml:space="preserve">Lundi 02/06/2026 09:00</t>
  </si>
  <si>
    <t xml:space="preserve">Fin de sprint</t>
  </si>
  <si>
    <t xml:space="preserve">Vendredi 13/06/2026 — tag v0.5-s3 lundi 16/06</t>
  </si>
  <si>
    <t xml:space="preserve">Durée</t>
  </si>
  <si>
    <t xml:space="preserve">2 semaines (10 j ouvrés)</t>
  </si>
  <si>
    <t xml:space="preserve">Budget</t>
  </si>
  <si>
    <t xml:space="preserve">≈ 22,1 k€ (20 % de l'enveloppe v0.5 110 k€)</t>
  </si>
  <si>
    <t xml:space="preserve">Équipe</t>
  </si>
  <si>
    <t xml:space="preserve">2 fullstack + 0,3 designer + 0,3 PMO + CEO pilote (Major Fey)</t>
  </si>
  <si>
    <t xml:space="preserve">Périmètre</t>
  </si>
  <si>
    <t xml:space="preserve">2 pages migrées (agenda + revues), câblage SSE front, autosync Outlook 2 h, spike Service Windows</t>
  </si>
  <si>
    <t xml:space="preserve">Document parent</t>
  </si>
  <si>
    <t xml:space="preserve">DOSSIER-SPRINT-S3.md</t>
  </si>
  <si>
    <t xml:space="preserve">Sprint précédent</t>
  </si>
  <si>
    <t xml:space="preserve">S2 livré 25/04 — branche release/v0.5-s2 (10/10 issues, 55 tests)</t>
  </si>
  <si>
    <t xml:space="preserve">Décision parent</t>
  </si>
  <si>
    <t xml:space="preserve">GO ExCom v0.5 — DOSSIER-GO-NOGO-V05.md (04/05)</t>
  </si>
  <si>
    <t xml:space="preserve">Auteur</t>
  </si>
  <si>
    <t xml:space="preserve">Major Fey — CEO ETIC Services / pilote aiCEO</t>
  </si>
  <si>
    <t xml:space="preserve">Date du POA</t>
  </si>
  <si>
    <t xml:space="preserve">2026-04-25</t>
  </si>
  <si>
    <t xml:space="preserve">11 issues GitHub à ouvrir pour le sprint (S3.00 → S3.10)</t>
  </si>
  <si>
    <t xml:space="preserve">#</t>
  </si>
  <si>
    <t xml:space="preserve">Titre</t>
  </si>
  <si>
    <t xml:space="preserve">Description / acceptance</t>
  </si>
  <si>
    <t xml:space="preserve">Charge (j-dev)</t>
  </si>
  <si>
    <t xml:space="preserve">Owner</t>
  </si>
  <si>
    <t xml:space="preserve">Dépend de</t>
  </si>
  <si>
    <t xml:space="preserve">Label</t>
  </si>
  <si>
    <t xml:space="preserve">Status</t>
  </si>
  <si>
    <t xml:space="preserve">S3.00</t>
  </si>
  <si>
    <t xml:space="preserve">ADR S3 + alignement méthode</t>
  </si>
  <si>
    <t xml:space="preserve">Rappel "zéro localStorage applicatif" sur agenda + revues. ADR rédigée et commitée jour 1.</t>
  </si>
  <si>
    <t xml:space="preserve">PMO</t>
  </si>
  <si>
    <t xml:space="preserve">—</t>
  </si>
  <si>
    <t xml:space="preserve">sprint:s3,phase:fusion,adr</t>
  </si>
  <si>
    <t xml:space="preserve">A demarrer</t>
  </si>
  <si>
    <t xml:space="preserve">S3.01</t>
  </si>
  <si>
    <t xml:space="preserve">Backend events/week + weekly-reviews + big-rocks</t>
  </si>
  <si>
    <t xml:space="preserve">Extension /api/events/week?with_tasks=true. Routes CRUD /api/weekly-reviews et /api/big-rocks. Tests unitaires.</t>
  </si>
  <si>
    <t xml:space="preserve">Dev1</t>
  </si>
  <si>
    <t xml:space="preserve">sprint:s3,phase:fusion,backend</t>
  </si>
  <si>
    <t xml:space="preserve">S3.02</t>
  </si>
  <si>
    <t xml:space="preserve">Frontend agenda.html migré</t>
  </si>
  <si>
    <t xml:space="preserve">Vue hebdo lun-dim Twisty consommant /api/events/week. Drag-drop tâche → jour (PATCH due_at). Sélecteur semaine deep-link.</t>
  </si>
  <si>
    <t xml:space="preserve">Dev2</t>
  </si>
  <si>
    <t xml:space="preserve">sprint:s3,phase:fusion,frontend</t>
  </si>
  <si>
    <t xml:space="preserve">S3.03</t>
  </si>
  <si>
    <t xml:space="preserve">Backend auto-draft revue Claude</t>
  </si>
  <si>
    <t xml:space="preserve">POST /api/weekly-reviews/:week/draft → markdown ≥ 200 mots. Prompt itéré sur 5 semaines réelles. Fallback offline.</t>
  </si>
  <si>
    <t xml:space="preserve">sprint:s3,phase:fusion,ai</t>
  </si>
  <si>
    <t xml:space="preserve">S3.04</t>
  </si>
  <si>
    <t xml:space="preserve">Frontend revues/index.html migré</t>
  </si>
  <si>
    <t xml:space="preserve">Big Rocks éditables (max 3) + auto-draft markdown + archives W17+. Drawer source-inspector branché.</t>
  </si>
  <si>
    <t xml:space="preserve">S3.01,S3.03</t>
  </si>
  <si>
    <t xml:space="preserve">S3.05</t>
  </si>
  <si>
    <t xml:space="preserve">Câblage SSE front (cockpit + tâches)</t>
  </si>
  <si>
    <t xml:space="preserve">Routes mutatrices appellent emitChange(). index.html + taches.html ouvrent EventSource(/api/cockpit/stream) et invalident le state.</t>
  </si>
  <si>
    <t xml:space="preserve">sprint:s3,phase:fusion,realtime</t>
  </si>
  <si>
    <t xml:space="preserve">S3.06</t>
  </si>
  <si>
    <t xml:space="preserve">Outlook autosync 2 h</t>
  </si>
  <si>
    <t xml:space="preserve">schtasks /create aiCEO-Outlook-Sync (2h). Logging dédié. Endpoint GET /api/system/last-sync. Alerte cockpit &gt; 4 h sans sync.</t>
  </si>
  <si>
    <t xml:space="preserve">sprint:s3,phase:fusion,integration</t>
  </si>
  <si>
    <t xml:space="preserve">S3.07</t>
  </si>
  <si>
    <t xml:space="preserve">Tests e2e parcours hebdo (P4)</t>
  </si>
  <si>
    <t xml:space="preserve">Nouveau parcours e2e : ouverture agenda hebdo → drag-drop tâche → revue draft → commit Big Rocks. Cible 1 test vert.</t>
  </si>
  <si>
    <t xml:space="preserve">S3.02,S3.04</t>
  </si>
  <si>
    <t xml:space="preserve">sprint:s3,phase:fusion,tests</t>
  </si>
  <si>
    <t xml:space="preserve">S3.08</t>
  </si>
  <si>
    <t xml:space="preserve">Tests unitaires extensions ≥ 65 verts</t>
  </si>
  <si>
    <t xml:space="preserve">Couverture weekly-reviews, big-rocks, system/last-sync, validation prompt auto-draft, helpers semaine ISO.</t>
  </si>
  <si>
    <t xml:space="preserve">S3.09</t>
  </si>
  <si>
    <t xml:space="preserve">Doc API S3 + README MVP</t>
  </si>
  <si>
    <t xml:space="preserve">Mise à jour docs/API.md (events/week, weekly-reviews, big-rocks, system, sse câblé). README MVP : section "Installation autosync".</t>
  </si>
  <si>
    <t xml:space="preserve">sprint:s3,phase:fusion,docs</t>
  </si>
  <si>
    <t xml:space="preserve">S3.10</t>
  </si>
  <si>
    <t xml:space="preserve">Spike Service Windows (POC node-windows)</t>
  </si>
  <si>
    <t xml:space="preserve">Time-boxé 1,5 j strict. POC install service via node-windows ou NSSM. ADR avec décision finale (S5 = exécution).</t>
  </si>
  <si>
    <t xml:space="preserve">sprint:s3,phase:fusion,spike</t>
  </si>
  <si>
    <t xml:space="preserve">TOTAL</t>
  </si>
  <si>
    <t xml:space="preserve">Capacité brute 2 dev × 10 j = 20 j-dev. Charge S3 = 11,1 j → marge 9 j (45 %) absorbée par dailys, retro, demos, support.</t>
  </si>
  <si>
    <t xml:space="preserve">Budget Sprint S3 — ventilation 22,1 k€</t>
  </si>
  <si>
    <t xml:space="preserve">Hypothèses</t>
  </si>
  <si>
    <t xml:space="preserve">Durée sprint</t>
  </si>
  <si>
    <t xml:space="preserve">semaines</t>
  </si>
  <si>
    <t xml:space="preserve">Jours ouvrés/semaine</t>
  </si>
  <si>
    <t xml:space="preserve">j (vendredi demi-journée)</t>
  </si>
  <si>
    <t xml:space="preserve">Tarif journalier dev senior</t>
  </si>
  <si>
    <t xml:space="preserve">EUR/j</t>
  </si>
  <si>
    <t xml:space="preserve">Postes</t>
  </si>
  <si>
    <t xml:space="preserve">Poste</t>
  </si>
  <si>
    <t xml:space="preserve">ETP</t>
  </si>
  <si>
    <t xml:space="preserve">Calcul</t>
  </si>
  <si>
    <t xml:space="preserve">Montant (EUR)</t>
  </si>
  <si>
    <t xml:space="preserve">% du sprint</t>
  </si>
  <si>
    <t xml:space="preserve">Dev fullstack (2 ETP)</t>
  </si>
  <si>
    <t xml:space="preserve">ETP × durée × j/sem × tarif</t>
  </si>
  <si>
    <t xml:space="preserve">Designer DS (0,3 ETP)</t>
  </si>
  <si>
    <t xml:space="preserve">PMO (0,3 ETP)</t>
  </si>
  <si>
    <t xml:space="preserve">Sous-total équipe</t>
  </si>
  <si>
    <t xml:space="preserve">LLM Claude (auto-draft + tests)</t>
  </si>
  <si>
    <t xml:space="preserve">5 drafts × 2k tokens + tests e2e</t>
  </si>
  <si>
    <t xml:space="preserve">Provision risque (5%)</t>
  </si>
  <si>
    <t xml:space="preserve">Aléas, dérives légères</t>
  </si>
  <si>
    <t xml:space="preserve">TOTAL S3</t>
  </si>
  <si>
    <t xml:space="preserve">Cumul v0.5</t>
  </si>
  <si>
    <t xml:space="preserve">État</t>
  </si>
  <si>
    <t xml:space="preserve">Coût (k€)</t>
  </si>
  <si>
    <t xml:space="preserve">Cumul (k€)</t>
  </si>
  <si>
    <t xml:space="preserve">% enveloppe 110 k€</t>
  </si>
  <si>
    <t xml:space="preserve">S1</t>
  </si>
  <si>
    <t xml:space="preserve">livré</t>
  </si>
  <si>
    <t xml:space="preserve">S2</t>
  </si>
  <si>
    <t xml:space="preserve">kickoff</t>
  </si>
  <si>
    <t xml:space="preserve">S4</t>
  </si>
  <si>
    <t xml:space="preserve">planifié</t>
  </si>
  <si>
    <t xml:space="preserve">S5</t>
  </si>
  <si>
    <t xml:space="preserve">S6</t>
  </si>
  <si>
    <t xml:space="preserve">10 critères de fin de sprint (vendredi 13/06 17:00)</t>
  </si>
  <si>
    <t xml:space="preserve">Tag v0.5-s3 posé lundi 16/06 si tous les critères = "Vert".</t>
  </si>
  <si>
    <t xml:space="preserve">Critère</t>
  </si>
  <si>
    <t xml:space="preserve">Mesure / outil</t>
  </si>
  <si>
    <t xml:space="preserve">Statut</t>
  </si>
  <si>
    <t xml:space="preserve">Commentaire</t>
  </si>
  <si>
    <t xml:space="preserve">2 pages neuves accessibles à localhost:3001</t>
  </si>
  <si>
    <t xml:space="preserve">curl http://localhost:3001/{agenda.html,revues/index.html} → 200</t>
  </si>
  <si>
    <t xml:space="preserve">A vérifier</t>
  </si>
  <si>
    <t xml:space="preserve">Zéro localStorage applicatif</t>
  </si>
  <si>
    <t xml:space="preserve">grep -nE "localStorage\.(get|set|remove)Item" 03_mvp/public/{agenda.html,revues/index.html} → 0</t>
  </si>
  <si>
    <t xml:space="preserve">UI prefs (theme) tolérées</t>
  </si>
  <si>
    <t xml:space="preserve">Agenda drag-drop OK</t>
  </si>
  <si>
    <t xml:space="preserve">drag tâche → jour patch due_at vérifié SQL + e2e</t>
  </si>
  <si>
    <t xml:space="preserve">Pattern arbitrage.html réutilisé</t>
  </si>
  <si>
    <t xml:space="preserve">Big Rocks éditables (max 3 / semaine)</t>
  </si>
  <si>
    <t xml:space="preserve">CRUD /api/big-rocks, contrainte 3 max appliquée</t>
  </si>
  <si>
    <t xml:space="preserve">Validation 400 si tentative &gt; 3</t>
  </si>
  <si>
    <t xml:space="preserve">Auto-draft Claude OK</t>
  </si>
  <si>
    <t xml:space="preserve">Draft markdown ≥ 200 mots, rubric 6 critères ≥ 5/6</t>
  </si>
  <si>
    <t xml:space="preserve">Revue qualitative CEO</t>
  </si>
  <si>
    <t xml:space="preserve">SSE live cockpit &lt; 1 s</t>
  </si>
  <si>
    <t xml:space="preserve">Toggle tâche tab A → cockpit tab B refresh sans F5 (test manuel + e2e)</t>
  </si>
  <si>
    <t xml:space="preserve">EventSource branché S3.05</t>
  </si>
  <si>
    <t xml:space="preserve">Outlook autosync planifié</t>
  </si>
  <si>
    <t xml:space="preserve">schtasks /query /tn "aiCEO-Outlook-Sync" → présent</t>
  </si>
  <si>
    <t xml:space="preserve">Droits admin si requis (Issue IT)</t>
  </si>
  <si>
    <t xml:space="preserve">GET /api/system/last-sync</t>
  </si>
  <si>
    <t xml:space="preserve">JSON {last_run, status, mails_in, events_in, errors}</t>
  </si>
  <si>
    <t xml:space="preserve">Alerte cockpit si &gt; 4 h</t>
  </si>
  <si>
    <t xml:space="preserve">Tests unitaires ≥ 65 verts</t>
  </si>
  <si>
    <t xml:space="preserve">npm test → ≥ 65 tests verts (vs 55 en S2)</t>
  </si>
  <si>
    <t xml:space="preserve">+10 tests sur extensions S3</t>
  </si>
  <si>
    <t xml:space="preserve">tests/e2e.test.js → P4 vert (agenda + revue + drag)</t>
  </si>
  <si>
    <t xml:space="preserve">Compléte P1/P2/P3 livrés S2</t>
  </si>
  <si>
    <t xml:space="preserve">Score</t>
  </si>
  <si>
    <t xml:space="preserve">Saisir "Vert" / "Orange" / "Rouge" dans col D</t>
  </si>
  <si>
    <t xml:space="preserve">Planning S3 — 10 jours ouvrés (02/06 → 13/06)</t>
  </si>
  <si>
    <t xml:space="preserve">Daily 09:00 (15 min) lundi-vendredi. Demos mid-week vendredi 06/06 et finale 13/06.</t>
  </si>
  <si>
    <t xml:space="preserve">Date</t>
  </si>
  <si>
    <t xml:space="preserve">Jour</t>
  </si>
  <si>
    <t xml:space="preserve">Activités clés</t>
  </si>
  <si>
    <t xml:space="preserve">Output</t>
  </si>
  <si>
    <t xml:space="preserve">02/06</t>
  </si>
  <si>
    <t xml:space="preserve">Lun</t>
  </si>
  <si>
    <t xml:space="preserve">Kickoff 45 min (deck S3) + ouverture des 11 issues. S3.00 ADR commitée. S3.01 démarre (backend weekly-reviews + big-rocks).</t>
  </si>
  <si>
    <t xml:space="preserve">Sprint démarre</t>
  </si>
  <si>
    <t xml:space="preserve">03/06</t>
  </si>
  <si>
    <t xml:space="preserve">Mar</t>
  </si>
  <si>
    <t xml:space="preserve">S3.01 routes CRUD + tests unit. S3.02 démarre (squelette agenda.html + grille hebdo).</t>
  </si>
  <si>
    <t xml:space="preserve">Issues actives</t>
  </si>
  <si>
    <t xml:space="preserve">04/06</t>
  </si>
  <si>
    <t xml:space="preserve">Mer</t>
  </si>
  <si>
    <t xml:space="preserve">S3.01 fini (events/week extension). S3.02 drag-drop branché. Mid-week point synchro 14:00.</t>
  </si>
  <si>
    <t xml:space="preserve">Backend S3.01 livré</t>
  </si>
  <si>
    <t xml:space="preserve">05/06</t>
  </si>
  <si>
    <t xml:space="preserve">Jeu</t>
  </si>
  <si>
    <t xml:space="preserve">S3.04 démarre (squelette revues/index.html + Big Rocks). S3.05 démarre (câblage SSE cockpit).</t>
  </si>
  <si>
    <t xml:space="preserve">Front agenda en QA</t>
  </si>
  <si>
    <t xml:space="preserve">06/06</t>
  </si>
  <si>
    <t xml:space="preserve">Ven</t>
  </si>
  <si>
    <t xml:space="preserve">Demo intermédiaire 16:00 — agenda hebdo + cockpit live. Rétro J1-J5.</t>
  </si>
  <si>
    <t xml:space="preserve">Demo S3 mid-week 1</t>
  </si>
  <si>
    <t xml:space="preserve">09/06</t>
  </si>
  <si>
    <t xml:space="preserve">S3.03 démarre (auto-draft Claude). S3.05 cablage taches. S3.10 spike Service Windows démarre.</t>
  </si>
  <si>
    <t xml:space="preserve">Issues IA + spike actives</t>
  </si>
  <si>
    <t xml:space="preserve">10/06</t>
  </si>
  <si>
    <t xml:space="preserve">S3.04 archives revues + UI éditeur markdown. S3.06 schtasks + endpoint last-sync.</t>
  </si>
  <si>
    <t xml:space="preserve">11/06</t>
  </si>
  <si>
    <t xml:space="preserve">Mid-sprint check ExCom (Major Fey, 15 min). S3.07 e2e P4. S3.08 tests unitaires extension.</t>
  </si>
  <si>
    <t xml:space="preserve">Go/no-go plan B auto-draft</t>
  </si>
  <si>
    <t xml:space="preserve">12/06</t>
  </si>
  <si>
    <t xml:space="preserve">S3.09 doc API. S3.10 ADR Service Windows rédigée. Bug bash + polish UX.</t>
  </si>
  <si>
    <t xml:space="preserve">13/06</t>
  </si>
  <si>
    <t xml:space="preserve">Demo finale 16:00 + retro 30 min + ouverture issues S4. Tag v0.5-s3 si critères §2 verts.</t>
  </si>
  <si>
    <t xml:space="preserve">Sprint clos · Demo S3 finale</t>
  </si>
  <si>
    <t xml:space="preserve">16/06</t>
  </si>
  <si>
    <t xml:space="preserve">Tag v0.5-s3 posé. Sinon plan rattrapage début S4.</t>
  </si>
  <si>
    <t xml:space="preserve">Tag v0.5-s3 ou rattrapage</t>
  </si>
  <si>
    <t xml:space="preserve">Top 5 risques + plan B + déclencheurs</t>
  </si>
  <si>
    <t xml:space="preserve">Risque</t>
  </si>
  <si>
    <t xml:space="preserve">Probabilité</t>
  </si>
  <si>
    <t xml:space="preserve">Impact</t>
  </si>
  <si>
    <t xml:space="preserve">Plan B</t>
  </si>
  <si>
    <t xml:space="preserve">Déclencheur</t>
  </si>
  <si>
    <t xml:space="preserve">R1</t>
  </si>
  <si>
    <t xml:space="preserve">Schtasks Windows nécessite droits admin → blocage poste corp ETIC</t>
  </si>
  <si>
    <t xml:space="preserve">Moyenne</t>
  </si>
  <si>
    <t xml:space="preserve">P1 — Sprint dérape de 1 j</t>
  </si>
  <si>
    <t xml:space="preserve">Issue P0 ouverte côté IT ETIC dès J1. Fallback : tâche utilisateur (sans admin) ou exécution au login.</t>
  </si>
  <si>
    <t xml:space="preserve">IT ETIC ne valide pas avant J5</t>
  </si>
  <si>
    <t xml:space="preserve">R2</t>
  </si>
  <si>
    <t xml:space="preserve">Auto-draft Claude génère un markdown faible (vague, verbeux, hors sujet)</t>
  </si>
  <si>
    <t xml:space="preserve">P2 — Dette qualité</t>
  </si>
  <si>
    <t xml:space="preserve">Prompt itéré sur 5 semaines réelles W14-W18, rubric 6 critères ≥ 5/6. Si non concluant J11, livrer template figé + reporter IA en S4.</t>
  </si>
  <si>
    <t xml:space="preserve">Score rubric &lt; 5/6 sur 3 drafts test</t>
  </si>
  <si>
    <t xml:space="preserve">R3</t>
  </si>
  <si>
    <t xml:space="preserve">SSE traversée Zscaler corp (timeout 60 s) sur poste CEO</t>
  </si>
  <si>
    <t xml:space="preserve">Faible</t>
  </si>
  <si>
    <t xml:space="preserve">P2 — Push live KO en corp</t>
  </si>
  <si>
    <t xml:space="preserve">Heartbeat 25 s en place (S2.10). Test J3 sur poste CEO. Fallback polling 30 s si SSE coupe.</t>
  </si>
  <si>
    <t xml:space="preserve">Test J3 montre coupure &lt; 30 s</t>
  </si>
  <si>
    <t xml:space="preserve">R4</t>
  </si>
  <si>
    <t xml:space="preserve">Drag-drop natif HTML5 capricieux sur Edge legacy</t>
  </si>
  <si>
    <t xml:space="preserve">P3 — UX dégradée</t>
  </si>
  <si>
    <t xml:space="preserve">Pattern arbitrage.html réutilisé (déjà éprouvé S2.03). Si bug, vendre SortableJS (7 ko gzip).</t>
  </si>
  <si>
    <t xml:space="preserve">Bug confirmé J3 sur Edge poste CEO</t>
  </si>
  <si>
    <t xml:space="preserve">R5</t>
  </si>
  <si>
    <t xml:space="preserve">Spike Service Windows (S3.10) explose le time-box 1,5 j</t>
  </si>
  <si>
    <t xml:space="preserve">P2 — Tests e2e décalés</t>
  </si>
  <si>
    <t xml:space="preserve">Time-box strict 1,5 j. Si dépassé, abandonner POC, garder ADR "à finaliser en S5", réinjecter capacité sur S3.07/S3.08.</t>
  </si>
  <si>
    <t xml:space="preserve">S3.10 dépasse 1,5 j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</si>
</sst>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b val="true"/>
      <sz val="12"/>
      <color rgb="FF1E276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76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4F2EC"/>
        <bgColor rgb="FFFFFFFF"/>
      </patternFill>
    </fill>
    <fill>
      <patternFill patternType="solid">
        <fgColor rgb="FFCADCFC"/>
        <bgColor rgb="FFD0D7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7DE"/>
      <rgbColor rgb="FF808080"/>
      <rgbColor rgb="FF9999FF"/>
      <rgbColor rgb="FF993366"/>
      <rgbColor rgb="FFF4F2EC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/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32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2" t="s">
        <v>26</v>
      </c>
      <c r="B1" s="2"/>
      <c r="C1" s="2"/>
      <c r="D1" s="2"/>
      <c r="E1" s="2"/>
      <c r="F1" s="2"/>
      <c r="G1" s="2"/>
      <c r="H1" s="2"/>
    </row>
    <row r="3" customFormat="false" ht="24.75" hidden="false" customHeight="true" outlineLevel="0" collapsed="false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</row>
    <row r="4" customFormat="false" ht="49.5" hidden="false" customHeight="true" outlineLevel="0" collapsed="false">
      <c r="A4" s="6" t="s">
        <v>35</v>
      </c>
      <c r="B4" s="6" t="s">
        <v>36</v>
      </c>
      <c r="C4" s="6" t="s">
        <v>37</v>
      </c>
      <c r="D4" s="6" t="n">
        <v>0.3</v>
      </c>
      <c r="E4" s="6" t="s">
        <v>38</v>
      </c>
      <c r="F4" s="6" t="s">
        <v>39</v>
      </c>
      <c r="G4" s="6" t="s">
        <v>40</v>
      </c>
      <c r="H4" s="6" t="s">
        <v>41</v>
      </c>
    </row>
    <row r="5" customFormat="false" ht="49.5" hidden="false" customHeight="true" outlineLevel="0" collapsed="false">
      <c r="A5" s="7" t="s">
        <v>42</v>
      </c>
      <c r="B5" s="7" t="s">
        <v>43</v>
      </c>
      <c r="C5" s="7" t="s">
        <v>44</v>
      </c>
      <c r="D5" s="7" t="n">
        <v>1.5</v>
      </c>
      <c r="E5" s="7" t="s">
        <v>45</v>
      </c>
      <c r="F5" s="7" t="s">
        <v>39</v>
      </c>
      <c r="G5" s="7" t="s">
        <v>46</v>
      </c>
      <c r="H5" s="7" t="s">
        <v>41</v>
      </c>
    </row>
    <row r="6" customFormat="false" ht="49.5" hidden="false" customHeight="true" outlineLevel="0" collapsed="false">
      <c r="A6" s="6" t="s">
        <v>47</v>
      </c>
      <c r="B6" s="6" t="s">
        <v>48</v>
      </c>
      <c r="C6" s="6" t="s">
        <v>49</v>
      </c>
      <c r="D6" s="6" t="n">
        <v>1.5</v>
      </c>
      <c r="E6" s="6" t="s">
        <v>50</v>
      </c>
      <c r="F6" s="6" t="s">
        <v>42</v>
      </c>
      <c r="G6" s="6" t="s">
        <v>51</v>
      </c>
      <c r="H6" s="6" t="s">
        <v>41</v>
      </c>
    </row>
    <row r="7" customFormat="false" ht="49.5" hidden="false" customHeight="true" outlineLevel="0" collapsed="false">
      <c r="A7" s="7" t="s">
        <v>52</v>
      </c>
      <c r="B7" s="7" t="s">
        <v>53</v>
      </c>
      <c r="C7" s="7" t="s">
        <v>54</v>
      </c>
      <c r="D7" s="7" t="n">
        <v>1</v>
      </c>
      <c r="E7" s="7" t="s">
        <v>45</v>
      </c>
      <c r="F7" s="7" t="s">
        <v>42</v>
      </c>
      <c r="G7" s="7" t="s">
        <v>55</v>
      </c>
      <c r="H7" s="7" t="s">
        <v>41</v>
      </c>
    </row>
    <row r="8" customFormat="false" ht="49.5" hidden="false" customHeight="true" outlineLevel="0" collapsed="false">
      <c r="A8" s="6" t="s">
        <v>56</v>
      </c>
      <c r="B8" s="6" t="s">
        <v>57</v>
      </c>
      <c r="C8" s="6" t="s">
        <v>58</v>
      </c>
      <c r="D8" s="6" t="n">
        <v>1.5</v>
      </c>
      <c r="E8" s="6" t="s">
        <v>50</v>
      </c>
      <c r="F8" s="6" t="s">
        <v>59</v>
      </c>
      <c r="G8" s="6" t="s">
        <v>51</v>
      </c>
      <c r="H8" s="6" t="s">
        <v>41</v>
      </c>
    </row>
    <row r="9" customFormat="false" ht="49.5" hidden="false" customHeight="true" outlineLevel="0" collapsed="false">
      <c r="A9" s="7" t="s">
        <v>60</v>
      </c>
      <c r="B9" s="7" t="s">
        <v>61</v>
      </c>
      <c r="C9" s="7" t="s">
        <v>62</v>
      </c>
      <c r="D9" s="7" t="n">
        <v>0.8</v>
      </c>
      <c r="E9" s="7" t="s">
        <v>45</v>
      </c>
      <c r="F9" s="7" t="s">
        <v>39</v>
      </c>
      <c r="G9" s="7" t="s">
        <v>63</v>
      </c>
      <c r="H9" s="7" t="s">
        <v>41</v>
      </c>
    </row>
    <row r="10" customFormat="false" ht="49.5" hidden="false" customHeight="true" outlineLevel="0" collapsed="false">
      <c r="A10" s="6" t="s">
        <v>64</v>
      </c>
      <c r="B10" s="6" t="s">
        <v>65</v>
      </c>
      <c r="C10" s="6" t="s">
        <v>66</v>
      </c>
      <c r="D10" s="6" t="n">
        <v>1</v>
      </c>
      <c r="E10" s="6" t="s">
        <v>50</v>
      </c>
      <c r="F10" s="6" t="s">
        <v>39</v>
      </c>
      <c r="G10" s="6" t="s">
        <v>67</v>
      </c>
      <c r="H10" s="6" t="s">
        <v>41</v>
      </c>
    </row>
    <row r="11" customFormat="false" ht="49.5" hidden="false" customHeight="true" outlineLevel="0" collapsed="false">
      <c r="A11" s="7" t="s">
        <v>68</v>
      </c>
      <c r="B11" s="7" t="s">
        <v>69</v>
      </c>
      <c r="C11" s="7" t="s">
        <v>70</v>
      </c>
      <c r="D11" s="7" t="n">
        <v>0.5</v>
      </c>
      <c r="E11" s="7" t="s">
        <v>45</v>
      </c>
      <c r="F11" s="7" t="s">
        <v>71</v>
      </c>
      <c r="G11" s="7" t="s">
        <v>72</v>
      </c>
      <c r="H11" s="7" t="s">
        <v>41</v>
      </c>
    </row>
    <row r="12" customFormat="false" ht="49.5" hidden="false" customHeight="true" outlineLevel="0" collapsed="false">
      <c r="A12" s="6" t="s">
        <v>73</v>
      </c>
      <c r="B12" s="6" t="s">
        <v>74</v>
      </c>
      <c r="C12" s="6" t="s">
        <v>75</v>
      </c>
      <c r="D12" s="6" t="n">
        <v>1</v>
      </c>
      <c r="E12" s="6" t="s">
        <v>50</v>
      </c>
      <c r="F12" s="6" t="s">
        <v>39</v>
      </c>
      <c r="G12" s="6" t="s">
        <v>72</v>
      </c>
      <c r="H12" s="6" t="s">
        <v>41</v>
      </c>
    </row>
    <row r="13" customFormat="false" ht="49.5" hidden="false" customHeight="true" outlineLevel="0" collapsed="false">
      <c r="A13" s="7" t="s">
        <v>76</v>
      </c>
      <c r="B13" s="7" t="s">
        <v>77</v>
      </c>
      <c r="C13" s="7" t="s">
        <v>78</v>
      </c>
      <c r="D13" s="7" t="n">
        <v>0.5</v>
      </c>
      <c r="E13" s="7" t="s">
        <v>38</v>
      </c>
      <c r="F13" s="7" t="s">
        <v>39</v>
      </c>
      <c r="G13" s="7" t="s">
        <v>79</v>
      </c>
      <c r="H13" s="7" t="s">
        <v>41</v>
      </c>
    </row>
    <row r="14" customFormat="false" ht="49.5" hidden="false" customHeight="true" outlineLevel="0" collapsed="false">
      <c r="A14" s="6" t="s">
        <v>80</v>
      </c>
      <c r="B14" s="6" t="s">
        <v>81</v>
      </c>
      <c r="C14" s="6" t="s">
        <v>82</v>
      </c>
      <c r="D14" s="6" t="n">
        <v>1.5</v>
      </c>
      <c r="E14" s="6" t="s">
        <v>45</v>
      </c>
      <c r="F14" s="6" t="s">
        <v>39</v>
      </c>
      <c r="G14" s="6" t="s">
        <v>83</v>
      </c>
      <c r="H14" s="6" t="s">
        <v>41</v>
      </c>
    </row>
    <row r="15" customFormat="false" ht="49.5" hidden="false" customHeight="true" outlineLevel="0" collapsed="false">
      <c r="A15" s="8" t="s">
        <v>84</v>
      </c>
      <c r="B15" s="8" t="s">
        <v>85</v>
      </c>
      <c r="C15" s="8"/>
      <c r="D15" s="8" t="n">
        <f aca="false">SUM(D4:D14)</f>
        <v>11.1</v>
      </c>
      <c r="E15" s="8"/>
      <c r="F15" s="8"/>
      <c r="G15" s="8"/>
      <c r="H15" s="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2" t="s">
        <v>86</v>
      </c>
      <c r="B1" s="2"/>
      <c r="C1" s="2"/>
      <c r="D1" s="2"/>
      <c r="E1" s="2"/>
    </row>
    <row r="3" customFormat="false" ht="15" hidden="false" customHeight="false" outlineLevel="0" collapsed="false">
      <c r="A3" s="9" t="s">
        <v>87</v>
      </c>
    </row>
    <row r="4" customFormat="false" ht="15" hidden="false" customHeight="false" outlineLevel="0" collapsed="false">
      <c r="A4" s="0" t="s">
        <v>88</v>
      </c>
      <c r="B4" s="0" t="n">
        <v>2</v>
      </c>
      <c r="C4" s="0" t="s">
        <v>89</v>
      </c>
    </row>
    <row r="5" customFormat="false" ht="15" hidden="false" customHeight="false" outlineLevel="0" collapsed="false">
      <c r="A5" s="0" t="s">
        <v>90</v>
      </c>
      <c r="B5" s="0" t="n">
        <v>4.5</v>
      </c>
      <c r="C5" s="0" t="s">
        <v>91</v>
      </c>
    </row>
    <row r="6" customFormat="false" ht="15" hidden="false" customHeight="false" outlineLevel="0" collapsed="false">
      <c r="A6" s="0" t="s">
        <v>92</v>
      </c>
      <c r="B6" s="0" t="n">
        <v>900</v>
      </c>
      <c r="C6" s="0" t="s">
        <v>93</v>
      </c>
    </row>
    <row r="8" customFormat="false" ht="15" hidden="false" customHeight="false" outlineLevel="0" collapsed="false">
      <c r="A8" s="9" t="s">
        <v>94</v>
      </c>
    </row>
    <row r="9" customFormat="false" ht="15" hidden="false" customHeight="false" outlineLevel="0" collapsed="false">
      <c r="A9" s="5" t="s">
        <v>95</v>
      </c>
      <c r="B9" s="5" t="s">
        <v>96</v>
      </c>
      <c r="C9" s="5" t="s">
        <v>97</v>
      </c>
      <c r="D9" s="5" t="s">
        <v>98</v>
      </c>
      <c r="E9" s="5" t="s">
        <v>99</v>
      </c>
    </row>
    <row r="10" customFormat="false" ht="15" hidden="false" customHeight="false" outlineLevel="0" collapsed="false">
      <c r="A10" s="7" t="s">
        <v>100</v>
      </c>
      <c r="B10" s="7" t="n">
        <v>2</v>
      </c>
      <c r="C10" s="7" t="s">
        <v>101</v>
      </c>
      <c r="D10" s="7" t="n">
        <f aca="false">B10*$B$4*$B$5*$B$6</f>
        <v>16200</v>
      </c>
      <c r="E10" s="10" t="n">
        <f aca="false">D10/$D$16</f>
        <v>0.726034150495227</v>
      </c>
    </row>
    <row r="11" customFormat="false" ht="15" hidden="false" customHeight="false" outlineLevel="0" collapsed="false">
      <c r="A11" s="7" t="s">
        <v>102</v>
      </c>
      <c r="B11" s="7" t="n">
        <v>0.3</v>
      </c>
      <c r="C11" s="7" t="s">
        <v>101</v>
      </c>
      <c r="D11" s="7" t="n">
        <f aca="false">B11*$B$4*$B$5*$B$6</f>
        <v>2430</v>
      </c>
      <c r="E11" s="10" t="n">
        <f aca="false">D11/$D$16</f>
        <v>0.108905122574284</v>
      </c>
    </row>
    <row r="12" customFormat="false" ht="15" hidden="false" customHeight="false" outlineLevel="0" collapsed="false">
      <c r="A12" s="7" t="s">
        <v>103</v>
      </c>
      <c r="B12" s="7" t="n">
        <v>0.3</v>
      </c>
      <c r="C12" s="7" t="s">
        <v>101</v>
      </c>
      <c r="D12" s="7" t="n">
        <f aca="false">B12*$B$4*$B$5*$B$6</f>
        <v>2430</v>
      </c>
      <c r="E12" s="10" t="n">
        <f aca="false">D12/$D$16</f>
        <v>0.108905122574284</v>
      </c>
    </row>
    <row r="13" customFormat="false" ht="15" hidden="false" customHeight="false" outlineLevel="0" collapsed="false">
      <c r="A13" s="11" t="s">
        <v>104</v>
      </c>
      <c r="B13" s="11"/>
      <c r="C13" s="11"/>
      <c r="D13" s="11" t="n">
        <f aca="false">SUM(D10:D12)</f>
        <v>21060</v>
      </c>
      <c r="E13" s="12" t="n">
        <f aca="false">D13/$D$16</f>
        <v>0.943844395643795</v>
      </c>
    </row>
    <row r="14" customFormat="false" ht="15" hidden="false" customHeight="false" outlineLevel="0" collapsed="false">
      <c r="A14" s="7" t="s">
        <v>105</v>
      </c>
      <c r="B14" s="7"/>
      <c r="C14" s="7" t="s">
        <v>106</v>
      </c>
      <c r="D14" s="7" t="n">
        <v>200</v>
      </c>
      <c r="E14" s="10" t="n">
        <f aca="false">D14/$D$16</f>
        <v>0.00896338457401515</v>
      </c>
    </row>
    <row r="15" customFormat="false" ht="15" hidden="false" customHeight="false" outlineLevel="0" collapsed="false">
      <c r="A15" s="7" t="s">
        <v>107</v>
      </c>
      <c r="B15" s="7"/>
      <c r="C15" s="7" t="s">
        <v>108</v>
      </c>
      <c r="D15" s="7" t="n">
        <f aca="false">ROUND(D13*0.05,0)</f>
        <v>1053</v>
      </c>
      <c r="E15" s="10" t="n">
        <f aca="false">D15/$D$16</f>
        <v>0.0471922197821898</v>
      </c>
    </row>
    <row r="16" customFormat="false" ht="15" hidden="false" customHeight="false" outlineLevel="0" collapsed="false">
      <c r="A16" s="11" t="s">
        <v>109</v>
      </c>
      <c r="B16" s="11"/>
      <c r="C16" s="11"/>
      <c r="D16" s="11" t="n">
        <f aca="false">D13+D14+D15</f>
        <v>22313</v>
      </c>
      <c r="E16" s="12" t="n">
        <v>1</v>
      </c>
    </row>
    <row r="18" customFormat="false" ht="15" hidden="false" customHeight="false" outlineLevel="0" collapsed="false">
      <c r="A18" s="9" t="s">
        <v>110</v>
      </c>
    </row>
    <row r="19" customFormat="false" ht="15" hidden="false" customHeight="false" outlineLevel="0" collapsed="false">
      <c r="A19" s="5" t="s">
        <v>2</v>
      </c>
      <c r="B19" s="5" t="s">
        <v>111</v>
      </c>
      <c r="C19" s="5" t="s">
        <v>112</v>
      </c>
      <c r="D19" s="5" t="s">
        <v>113</v>
      </c>
      <c r="E19" s="5" t="s">
        <v>114</v>
      </c>
    </row>
    <row r="20" customFormat="false" ht="15" hidden="false" customHeight="false" outlineLevel="0" collapsed="false">
      <c r="A20" s="7" t="s">
        <v>115</v>
      </c>
      <c r="B20" s="7" t="s">
        <v>116</v>
      </c>
      <c r="C20" s="7" t="n">
        <v>22.1</v>
      </c>
      <c r="D20" s="7" t="n">
        <v>22.1</v>
      </c>
      <c r="E20" s="10" t="n">
        <f aca="false">D20/110</f>
        <v>0.200909090909091</v>
      </c>
    </row>
    <row r="21" customFormat="false" ht="15" hidden="false" customHeight="false" outlineLevel="0" collapsed="false">
      <c r="A21" s="7" t="s">
        <v>117</v>
      </c>
      <c r="B21" s="7" t="s">
        <v>116</v>
      </c>
      <c r="C21" s="7" t="n">
        <v>22.1</v>
      </c>
      <c r="D21" s="7" t="n">
        <f aca="false">D20+C21</f>
        <v>44.2</v>
      </c>
      <c r="E21" s="10" t="n">
        <f aca="false">D21/110</f>
        <v>0.401818181818182</v>
      </c>
    </row>
    <row r="22" customFormat="false" ht="15" hidden="false" customHeight="false" outlineLevel="0" collapsed="false">
      <c r="A22" s="7" t="s">
        <v>3</v>
      </c>
      <c r="B22" s="7" t="s">
        <v>118</v>
      </c>
      <c r="C22" s="7" t="n">
        <v>22.1</v>
      </c>
      <c r="D22" s="7" t="n">
        <f aca="false">D21+C22</f>
        <v>66.3</v>
      </c>
      <c r="E22" s="10" t="n">
        <f aca="false">D22/110</f>
        <v>0.602727272727273</v>
      </c>
    </row>
    <row r="23" customFormat="false" ht="15" hidden="false" customHeight="false" outlineLevel="0" collapsed="false">
      <c r="A23" s="7" t="s">
        <v>119</v>
      </c>
      <c r="B23" s="7" t="s">
        <v>120</v>
      </c>
      <c r="C23" s="7" t="n">
        <v>22.1</v>
      </c>
      <c r="D23" s="7" t="n">
        <f aca="false">D22+C23</f>
        <v>88.4</v>
      </c>
      <c r="E23" s="10" t="n">
        <f aca="false">D23/110</f>
        <v>0.803636363636364</v>
      </c>
    </row>
    <row r="24" customFormat="false" ht="15" hidden="false" customHeight="false" outlineLevel="0" collapsed="false">
      <c r="A24" s="7" t="s">
        <v>121</v>
      </c>
      <c r="B24" s="7" t="s">
        <v>120</v>
      </c>
      <c r="C24" s="7" t="n">
        <v>11</v>
      </c>
      <c r="D24" s="7" t="n">
        <f aca="false">D23+C24</f>
        <v>99.4</v>
      </c>
      <c r="E24" s="10" t="n">
        <f aca="false">D24/110</f>
        <v>0.903636363636364</v>
      </c>
    </row>
    <row r="25" customFormat="false" ht="15" hidden="false" customHeight="false" outlineLevel="0" collapsed="false">
      <c r="A25" s="7" t="s">
        <v>122</v>
      </c>
      <c r="B25" s="7" t="s">
        <v>120</v>
      </c>
      <c r="C25" s="7" t="n">
        <v>11</v>
      </c>
      <c r="D25" s="7" t="n">
        <f aca="false">D24+C25</f>
        <v>110.4</v>
      </c>
      <c r="E25" s="10" t="n">
        <f aca="false">D25/110</f>
        <v>1.00363636363636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2" t="s">
        <v>123</v>
      </c>
      <c r="B1" s="2"/>
      <c r="C1" s="2"/>
      <c r="D1" s="2"/>
      <c r="E1" s="2"/>
    </row>
    <row r="2" customFormat="false" ht="15" hidden="false" customHeight="false" outlineLevel="0" collapsed="false">
      <c r="A2" s="13" t="s">
        <v>124</v>
      </c>
      <c r="B2" s="13"/>
      <c r="C2" s="13"/>
      <c r="D2" s="13"/>
      <c r="E2" s="13"/>
    </row>
    <row r="4" customFormat="false" ht="15" hidden="false" customHeight="false" outlineLevel="0" collapsed="false">
      <c r="A4" s="5" t="s">
        <v>27</v>
      </c>
      <c r="B4" s="5" t="s">
        <v>125</v>
      </c>
      <c r="C4" s="5" t="s">
        <v>126</v>
      </c>
      <c r="D4" s="5" t="s">
        <v>127</v>
      </c>
      <c r="E4" s="5" t="s">
        <v>128</v>
      </c>
    </row>
    <row r="5" customFormat="false" ht="30" hidden="false" customHeight="true" outlineLevel="0" collapsed="false">
      <c r="A5" s="7" t="n">
        <v>1</v>
      </c>
      <c r="B5" s="7" t="s">
        <v>129</v>
      </c>
      <c r="C5" s="7" t="s">
        <v>130</v>
      </c>
      <c r="D5" s="7" t="s">
        <v>131</v>
      </c>
      <c r="E5" s="7"/>
    </row>
    <row r="6" customFormat="false" ht="30" hidden="false" customHeight="true" outlineLevel="0" collapsed="false">
      <c r="A6" s="6" t="n">
        <v>2</v>
      </c>
      <c r="B6" s="6" t="s">
        <v>132</v>
      </c>
      <c r="C6" s="6" t="s">
        <v>133</v>
      </c>
      <c r="D6" s="6" t="s">
        <v>131</v>
      </c>
      <c r="E6" s="6" t="s">
        <v>134</v>
      </c>
    </row>
    <row r="7" customFormat="false" ht="30" hidden="false" customHeight="true" outlineLevel="0" collapsed="false">
      <c r="A7" s="7" t="n">
        <v>3</v>
      </c>
      <c r="B7" s="7" t="s">
        <v>135</v>
      </c>
      <c r="C7" s="7" t="s">
        <v>136</v>
      </c>
      <c r="D7" s="7" t="s">
        <v>131</v>
      </c>
      <c r="E7" s="7" t="s">
        <v>137</v>
      </c>
    </row>
    <row r="8" customFormat="false" ht="30" hidden="false" customHeight="true" outlineLevel="0" collapsed="false">
      <c r="A8" s="6" t="n">
        <v>4</v>
      </c>
      <c r="B8" s="6" t="s">
        <v>138</v>
      </c>
      <c r="C8" s="6" t="s">
        <v>139</v>
      </c>
      <c r="D8" s="6" t="s">
        <v>131</v>
      </c>
      <c r="E8" s="6" t="s">
        <v>140</v>
      </c>
    </row>
    <row r="9" customFormat="false" ht="30" hidden="false" customHeight="true" outlineLevel="0" collapsed="false">
      <c r="A9" s="7" t="n">
        <v>5</v>
      </c>
      <c r="B9" s="7" t="s">
        <v>141</v>
      </c>
      <c r="C9" s="7" t="s">
        <v>142</v>
      </c>
      <c r="D9" s="7" t="s">
        <v>131</v>
      </c>
      <c r="E9" s="7" t="s">
        <v>143</v>
      </c>
    </row>
    <row r="10" customFormat="false" ht="30" hidden="false" customHeight="true" outlineLevel="0" collapsed="false">
      <c r="A10" s="6" t="n">
        <v>6</v>
      </c>
      <c r="B10" s="6" t="s">
        <v>144</v>
      </c>
      <c r="C10" s="6" t="s">
        <v>145</v>
      </c>
      <c r="D10" s="6" t="s">
        <v>131</v>
      </c>
      <c r="E10" s="6" t="s">
        <v>146</v>
      </c>
    </row>
    <row r="11" customFormat="false" ht="30" hidden="false" customHeight="true" outlineLevel="0" collapsed="false">
      <c r="A11" s="7" t="n">
        <v>7</v>
      </c>
      <c r="B11" s="7" t="s">
        <v>147</v>
      </c>
      <c r="C11" s="7" t="s">
        <v>148</v>
      </c>
      <c r="D11" s="7" t="s">
        <v>131</v>
      </c>
      <c r="E11" s="7" t="s">
        <v>149</v>
      </c>
    </row>
    <row r="12" customFormat="false" ht="30" hidden="false" customHeight="true" outlineLevel="0" collapsed="false">
      <c r="A12" s="6" t="n">
        <v>8</v>
      </c>
      <c r="B12" s="6" t="s">
        <v>150</v>
      </c>
      <c r="C12" s="6" t="s">
        <v>151</v>
      </c>
      <c r="D12" s="6" t="s">
        <v>131</v>
      </c>
      <c r="E12" s="6" t="s">
        <v>152</v>
      </c>
    </row>
    <row r="13" customFormat="false" ht="30" hidden="false" customHeight="true" outlineLevel="0" collapsed="false">
      <c r="A13" s="7" t="n">
        <v>9</v>
      </c>
      <c r="B13" s="7" t="s">
        <v>153</v>
      </c>
      <c r="C13" s="7" t="s">
        <v>154</v>
      </c>
      <c r="D13" s="7" t="s">
        <v>131</v>
      </c>
      <c r="E13" s="7" t="s">
        <v>155</v>
      </c>
    </row>
    <row r="14" customFormat="false" ht="30" hidden="false" customHeight="true" outlineLevel="0" collapsed="false">
      <c r="A14" s="6" t="n">
        <v>10</v>
      </c>
      <c r="B14" s="6" t="s">
        <v>69</v>
      </c>
      <c r="C14" s="6" t="s">
        <v>156</v>
      </c>
      <c r="D14" s="6" t="s">
        <v>131</v>
      </c>
      <c r="E14" s="6" t="s">
        <v>157</v>
      </c>
    </row>
    <row r="15" customFormat="false" ht="30" hidden="false" customHeight="true" outlineLevel="0" collapsed="false">
      <c r="A15" s="11" t="s">
        <v>158</v>
      </c>
      <c r="B15" s="11" t="str">
        <f aca="false">COUNTIF(D5:D14,"Vert")&amp;" / "&amp;COUNTA(D5:D14)</f>
        <v>0 / 10</v>
      </c>
      <c r="C15" s="11" t="s">
        <v>159</v>
      </c>
      <c r="D15" s="11"/>
      <c r="E15" s="11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2" t="s">
        <v>160</v>
      </c>
      <c r="B1" s="2"/>
      <c r="C1" s="2"/>
      <c r="D1" s="2"/>
    </row>
    <row r="2" customFormat="false" ht="15" hidden="false" customHeight="false" outlineLevel="0" collapsed="false">
      <c r="A2" s="13" t="s">
        <v>161</v>
      </c>
      <c r="B2" s="13"/>
      <c r="C2" s="13"/>
      <c r="D2" s="13"/>
    </row>
    <row r="4" customFormat="false" ht="15" hidden="false" customHeight="false" outlineLevel="0" collapsed="false">
      <c r="A4" s="5" t="s">
        <v>162</v>
      </c>
      <c r="B4" s="5" t="s">
        <v>163</v>
      </c>
      <c r="C4" s="5" t="s">
        <v>164</v>
      </c>
      <c r="D4" s="5" t="s">
        <v>165</v>
      </c>
    </row>
    <row r="5" customFormat="false" ht="37.5" hidden="false" customHeight="true" outlineLevel="0" collapsed="false">
      <c r="A5" s="7" t="s">
        <v>166</v>
      </c>
      <c r="B5" s="7" t="s">
        <v>167</v>
      </c>
      <c r="C5" s="7" t="s">
        <v>168</v>
      </c>
      <c r="D5" s="7" t="s">
        <v>169</v>
      </c>
    </row>
    <row r="6" customFormat="false" ht="37.5" hidden="false" customHeight="true" outlineLevel="0" collapsed="false">
      <c r="A6" s="6" t="s">
        <v>170</v>
      </c>
      <c r="B6" s="6" t="s">
        <v>171</v>
      </c>
      <c r="C6" s="6" t="s">
        <v>172</v>
      </c>
      <c r="D6" s="6" t="s">
        <v>173</v>
      </c>
    </row>
    <row r="7" customFormat="false" ht="37.5" hidden="false" customHeight="true" outlineLevel="0" collapsed="false">
      <c r="A7" s="7" t="s">
        <v>174</v>
      </c>
      <c r="B7" s="7" t="s">
        <v>175</v>
      </c>
      <c r="C7" s="7" t="s">
        <v>176</v>
      </c>
      <c r="D7" s="7" t="s">
        <v>177</v>
      </c>
    </row>
    <row r="8" customFormat="false" ht="37.5" hidden="false" customHeight="true" outlineLevel="0" collapsed="false">
      <c r="A8" s="6" t="s">
        <v>178</v>
      </c>
      <c r="B8" s="6" t="s">
        <v>179</v>
      </c>
      <c r="C8" s="6" t="s">
        <v>180</v>
      </c>
      <c r="D8" s="6" t="s">
        <v>181</v>
      </c>
    </row>
    <row r="9" customFormat="false" ht="37.5" hidden="false" customHeight="true" outlineLevel="0" collapsed="false">
      <c r="A9" s="7" t="s">
        <v>182</v>
      </c>
      <c r="B9" s="7" t="s">
        <v>183</v>
      </c>
      <c r="C9" s="7" t="s">
        <v>184</v>
      </c>
      <c r="D9" s="7" t="s">
        <v>185</v>
      </c>
    </row>
    <row r="10" customFormat="false" ht="37.5" hidden="false" customHeight="true" outlineLevel="0" collapsed="false">
      <c r="A10" s="6" t="s">
        <v>186</v>
      </c>
      <c r="B10" s="6" t="s">
        <v>167</v>
      </c>
      <c r="C10" s="6" t="s">
        <v>187</v>
      </c>
      <c r="D10" s="6" t="s">
        <v>188</v>
      </c>
    </row>
    <row r="11" customFormat="false" ht="37.5" hidden="false" customHeight="true" outlineLevel="0" collapsed="false">
      <c r="A11" s="7" t="s">
        <v>189</v>
      </c>
      <c r="B11" s="7" t="s">
        <v>171</v>
      </c>
      <c r="C11" s="7" t="s">
        <v>190</v>
      </c>
      <c r="D11" s="7"/>
    </row>
    <row r="12" customFormat="false" ht="37.5" hidden="false" customHeight="true" outlineLevel="0" collapsed="false">
      <c r="A12" s="6" t="s">
        <v>191</v>
      </c>
      <c r="B12" s="6" t="s">
        <v>175</v>
      </c>
      <c r="C12" s="6" t="s">
        <v>192</v>
      </c>
      <c r="D12" s="6" t="s">
        <v>193</v>
      </c>
    </row>
    <row r="13" customFormat="false" ht="37.5" hidden="false" customHeight="true" outlineLevel="0" collapsed="false">
      <c r="A13" s="7" t="s">
        <v>194</v>
      </c>
      <c r="B13" s="7" t="s">
        <v>179</v>
      </c>
      <c r="C13" s="7" t="s">
        <v>195</v>
      </c>
      <c r="D13" s="7"/>
    </row>
    <row r="14" customFormat="false" ht="37.5" hidden="false" customHeight="true" outlineLevel="0" collapsed="false">
      <c r="A14" s="6" t="s">
        <v>196</v>
      </c>
      <c r="B14" s="6" t="s">
        <v>183</v>
      </c>
      <c r="C14" s="6" t="s">
        <v>197</v>
      </c>
      <c r="D14" s="6" t="s">
        <v>198</v>
      </c>
    </row>
    <row r="15" customFormat="false" ht="37.5" hidden="false" customHeight="true" outlineLevel="0" collapsed="false">
      <c r="A15" s="7" t="s">
        <v>199</v>
      </c>
      <c r="B15" s="7" t="s">
        <v>167</v>
      </c>
      <c r="C15" s="7" t="s">
        <v>200</v>
      </c>
      <c r="D15" s="7" t="s">
        <v>201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2" t="s">
        <v>202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5" t="s">
        <v>27</v>
      </c>
      <c r="B3" s="5" t="s">
        <v>203</v>
      </c>
      <c r="C3" s="5" t="s">
        <v>204</v>
      </c>
      <c r="D3" s="5" t="s">
        <v>205</v>
      </c>
      <c r="E3" s="5" t="s">
        <v>206</v>
      </c>
      <c r="F3" s="5" t="s">
        <v>207</v>
      </c>
    </row>
    <row r="4" customFormat="false" ht="60" hidden="false" customHeight="true" outlineLevel="0" collapsed="false">
      <c r="A4" s="6" t="s">
        <v>208</v>
      </c>
      <c r="B4" s="6" t="s">
        <v>209</v>
      </c>
      <c r="C4" s="6" t="s">
        <v>210</v>
      </c>
      <c r="D4" s="6" t="s">
        <v>211</v>
      </c>
      <c r="E4" s="6" t="s">
        <v>212</v>
      </c>
      <c r="F4" s="6" t="s">
        <v>213</v>
      </c>
    </row>
    <row r="5" customFormat="false" ht="60" hidden="false" customHeight="true" outlineLevel="0" collapsed="false">
      <c r="A5" s="7" t="s">
        <v>214</v>
      </c>
      <c r="B5" s="7" t="s">
        <v>215</v>
      </c>
      <c r="C5" s="7" t="s">
        <v>210</v>
      </c>
      <c r="D5" s="7" t="s">
        <v>216</v>
      </c>
      <c r="E5" s="7" t="s">
        <v>217</v>
      </c>
      <c r="F5" s="7" t="s">
        <v>218</v>
      </c>
    </row>
    <row r="6" customFormat="false" ht="60" hidden="false" customHeight="true" outlineLevel="0" collapsed="false">
      <c r="A6" s="6" t="s">
        <v>219</v>
      </c>
      <c r="B6" s="6" t="s">
        <v>220</v>
      </c>
      <c r="C6" s="6" t="s">
        <v>221</v>
      </c>
      <c r="D6" s="6" t="s">
        <v>222</v>
      </c>
      <c r="E6" s="6" t="s">
        <v>223</v>
      </c>
      <c r="F6" s="6" t="s">
        <v>224</v>
      </c>
    </row>
    <row r="7" customFormat="false" ht="60" hidden="false" customHeight="true" outlineLevel="0" collapsed="false">
      <c r="A7" s="7" t="s">
        <v>225</v>
      </c>
      <c r="B7" s="7" t="s">
        <v>226</v>
      </c>
      <c r="C7" s="7" t="s">
        <v>221</v>
      </c>
      <c r="D7" s="7" t="s">
        <v>227</v>
      </c>
      <c r="E7" s="7" t="s">
        <v>228</v>
      </c>
      <c r="F7" s="7" t="s">
        <v>229</v>
      </c>
    </row>
    <row r="8" customFormat="false" ht="60" hidden="false" customHeight="true" outlineLevel="0" collapsed="false">
      <c r="A8" s="6" t="s">
        <v>230</v>
      </c>
      <c r="B8" s="6" t="s">
        <v>231</v>
      </c>
      <c r="C8" s="6" t="s">
        <v>210</v>
      </c>
      <c r="D8" s="6" t="s">
        <v>232</v>
      </c>
      <c r="E8" s="6" t="s">
        <v>233</v>
      </c>
      <c r="F8" s="6" t="s">
        <v>234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2026-04-25T12:11:36Z</dcterms:created>
  <dc:creator>openpyxl</dc:creator>
  <dc:description/>
  <dc:language>en-US</dc:language>
  <cp:lastModifiedBy/>
  <dcterms:modified xsi:type="dcterms:W3CDTF">2026-04-25T12:11:36Z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