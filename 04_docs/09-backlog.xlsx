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acklog" sheetId="2" state="visible" r:id="rId2"/>
    <sheet xmlns:r="http://schemas.openxmlformats.org/officeDocument/2006/relationships" name="Roadmap" sheetId="3" state="visible" r:id="rId3"/>
    <sheet xmlns:r="http://schemas.openxmlformats.org/officeDocument/2006/relationships" name="KPIs" sheetId="4" state="visible" r:id="rId4"/>
    <sheet xmlns:r="http://schemas.openxmlformats.org/officeDocument/2006/relationships" name="Budget" sheetId="5" state="visible" r:id="rId5"/>
    <sheet xmlns:r="http://schemas.openxmlformats.org/officeDocument/2006/relationships" name="Risques" sheetId="6" state="visible" r:id="rId6"/>
  </sheets>
  <definedNames>
    <definedName name="_xlnm._FilterDatabase" localSheetId="1" hidden="1">'Backlog'!$A$1:$M$43</definedName>
    <definedName name="_xlnm._FilterDatabase" localSheetId="3" hidden="1">'KPIs'!$A$3:$G$22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€"/>
  </numFmts>
  <fonts count="13">
    <font>
      <name val="Calibri"/>
      <family val="2"/>
      <color theme="1"/>
      <sz val="11"/>
      <scheme val="minor"/>
    </font>
    <font>
      <name val="Arial"/>
      <b val="1"/>
      <color rgb="00111418"/>
      <sz val="18"/>
    </font>
    <font>
      <name val="Arial"/>
      <i val="1"/>
      <color rgb="003F4554"/>
      <sz val="11"/>
    </font>
    <font>
      <name val="Arial"/>
      <b val="1"/>
      <sz val="14"/>
    </font>
    <font>
      <name val="Arial"/>
      <b val="1"/>
      <color rgb="006D3BA5"/>
      <sz val="11"/>
    </font>
    <font>
      <name val="Arial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sz val="16"/>
    </font>
    <font>
      <name val="Arial"/>
      <b val="1"/>
      <sz val="12"/>
    </font>
    <font>
      <name val="Arial"/>
      <color rgb="000000FF"/>
      <sz val="11"/>
    </font>
    <font>
      <name val="Arial"/>
      <b val="1"/>
      <sz val="11"/>
    </font>
  </fonts>
  <fills count="10">
    <fill>
      <patternFill/>
    </fill>
    <fill>
      <patternFill patternType="gray125"/>
    </fill>
    <fill>
      <patternFill patternType="solid">
        <fgColor rgb="00111418"/>
      </patternFill>
    </fill>
    <fill>
      <patternFill patternType="solid">
        <fgColor rgb="00f5dada"/>
      </patternFill>
    </fill>
    <fill>
      <patternFill patternType="solid">
        <fgColor rgb="00f5e8cc"/>
      </patternFill>
    </fill>
    <fill>
      <patternFill patternType="solid">
        <fgColor rgb="00e9e7e1"/>
      </patternFill>
    </fill>
    <fill>
      <patternFill patternType="solid">
        <fgColor rgb="00d8ecdf"/>
      </patternFill>
    </fill>
    <fill>
      <patternFill patternType="solid">
        <fgColor rgb="00dce9f7"/>
      </patternFill>
    </fill>
    <fill>
      <patternFill patternType="solid">
        <fgColor rgb="00e9d9ff"/>
      </patternFill>
    </fill>
    <fill>
      <patternFill patternType="solid">
        <fgColor rgb="00a9adb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top" wrapText="1"/>
    </xf>
    <xf numFmtId="0" fontId="8" fillId="6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0" fillId="3" borderId="0" pivotButton="0" quotePrefix="0" xfId="0"/>
    <xf numFmtId="0" fontId="8" fillId="7" borderId="0" applyAlignment="1" pivotButton="0" quotePrefix="0" xfId="0">
      <alignment vertical="top" wrapText="1"/>
    </xf>
    <xf numFmtId="0" fontId="0" fillId="4" borderId="0" pivotButton="0" quotePrefix="0" xfId="0"/>
    <xf numFmtId="0" fontId="8" fillId="8" borderId="0" applyAlignment="1" pivotButton="0" quotePrefix="0" xfId="0">
      <alignment vertical="top" wrapText="1"/>
    </xf>
    <xf numFmtId="0" fontId="0" fillId="5" borderId="0" pivotButton="0" quotePrefix="0" xfId="0"/>
    <xf numFmtId="0" fontId="8" fillId="4" borderId="0" applyAlignment="1" pivotButton="0" quotePrefix="0" xfId="0">
      <alignment vertical="top" wrapText="1"/>
    </xf>
    <xf numFmtId="0" fontId="9" fillId="0" borderId="0" pivotButton="0" quotePrefix="0" xfId="0"/>
    <xf numFmtId="0" fontId="6" fillId="2" borderId="0" applyAlignment="1" pivotButton="0" quotePrefix="0" xfId="0">
      <alignment horizontal="center" wrapText="1"/>
    </xf>
    <xf numFmtId="0" fontId="8" fillId="9" borderId="0" applyAlignment="1" pivotButton="0" quotePrefix="0" xfId="0">
      <alignment vertical="top" wrapText="1"/>
    </xf>
    <xf numFmtId="0" fontId="8" fillId="3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10" fillId="0" borderId="0" pivotButton="0" quotePrefix="0" xfId="0"/>
    <xf numFmtId="164" fontId="11" fillId="0" borderId="0" pivotButton="0" quotePrefix="0" xfId="0"/>
    <xf numFmtId="0" fontId="11" fillId="0" borderId="0" pivotButton="0" quotePrefix="0" xfId="0"/>
    <xf numFmtId="0" fontId="6" fillId="2" borderId="0" applyAlignment="1" pivotButton="0" quotePrefix="0" xfId="0">
      <alignment horizontal="center"/>
    </xf>
    <xf numFmtId="0" fontId="8" fillId="6" borderId="0" pivotButton="0" quotePrefix="0" xfId="0"/>
    <xf numFmtId="3" fontId="0" fillId="0" borderId="0" pivotButton="0" quotePrefix="0" xfId="0"/>
    <xf numFmtId="0" fontId="8" fillId="7" borderId="0" pivotButton="0" quotePrefix="0" xfId="0"/>
    <xf numFmtId="0" fontId="8" fillId="8" borderId="0" pivotButton="0" quotePrefix="0" xfId="0"/>
    <xf numFmtId="0" fontId="8" fillId="4" borderId="0" pivotButton="0" quotePrefix="0" xfId="0"/>
    <xf numFmtId="0" fontId="12" fillId="9" borderId="0" pivotButton="0" quotePrefix="0" xfId="0"/>
    <xf numFmtId="0" fontId="12" fillId="0" borderId="0" pivotButton="0" quotePrefix="0" xfId="0"/>
    <xf numFmtId="3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aiCEO — Backlog produit &amp; roadmap</t>
        </is>
      </c>
    </row>
    <row r="3">
      <c r="A3" s="2" t="inlineStr">
        <is>
          <t>Version 1.0 · 23 avril 2026 · Pour Feycoil Mouhoussoune</t>
        </is>
      </c>
    </row>
    <row r="5">
      <c r="A5" s="3" t="inlineStr">
        <is>
          <t>Contenu du fichier</t>
        </is>
      </c>
    </row>
    <row r="7">
      <c r="A7" s="4" t="inlineStr">
        <is>
          <t>Backlog</t>
        </is>
      </c>
      <c r="B7" s="5" t="inlineStr">
        <is>
          <t>Liste priorisée RICE des 40+ features sur 18 mois</t>
        </is>
      </c>
    </row>
    <row r="8">
      <c r="A8" s="4" t="inlineStr">
        <is>
          <t>Roadmap</t>
        </is>
      </c>
      <c r="B8" s="5" t="inlineStr">
        <is>
          <t>Plan par trimestre (MVP / V1 / V2 / V3)</t>
        </is>
      </c>
    </row>
    <row r="9">
      <c r="A9" s="4" t="inlineStr">
        <is>
          <t>RICE</t>
        </is>
      </c>
      <c r="B9" s="5" t="inlineStr">
        <is>
          <t>Méthodologie de scoring détaillée</t>
        </is>
      </c>
    </row>
    <row r="10">
      <c r="A10" s="4" t="inlineStr">
        <is>
          <t>KPIs</t>
        </is>
      </c>
      <c r="B10" s="5" t="inlineStr">
        <is>
          <t>Indicateurs de succès par horizon</t>
        </is>
      </c>
    </row>
    <row r="11">
      <c r="A11" s="4" t="inlineStr">
        <is>
          <t>Budget</t>
        </is>
      </c>
      <c r="B11" s="5" t="inlineStr">
        <is>
          <t>Estimation coûts par phase</t>
        </is>
      </c>
    </row>
    <row r="12">
      <c r="A12" s="4" t="inlineStr">
        <is>
          <t>Risques</t>
        </is>
      </c>
      <c r="B12" s="5" t="inlineStr">
        <is>
          <t>Top risques avec mitigation</t>
        </is>
      </c>
    </row>
    <row r="14">
      <c r="A14" s="3" t="inlineStr">
        <is>
          <t>Méthodologie RICE</t>
        </is>
      </c>
    </row>
    <row r="15">
      <c r="A15" t="inlineStr">
        <is>
          <t>Reach × Impact × Confidence / Effort = Score de priorité</t>
        </is>
      </c>
    </row>
    <row r="16">
      <c r="A16" t="inlineStr">
        <is>
          <t>Reach : nombre d'utilisateurs touchés (1-10)</t>
        </is>
      </c>
    </row>
    <row r="17">
      <c r="A17" t="inlineStr">
        <is>
          <t>Impact : 0.25 (minimal) → 3 (massive)</t>
        </is>
      </c>
    </row>
    <row r="18">
      <c r="A18" t="inlineStr">
        <is>
          <t>Confidence : 0.5 (low) → 1 (high)</t>
        </is>
      </c>
    </row>
    <row r="19">
      <c r="A19" t="inlineStr">
        <is>
          <t>Effort : semaines-personne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8" customWidth="1" min="2" max="2"/>
    <col width="10" customWidth="1" min="3" max="3"/>
    <col width="14" customWidth="1" min="4" max="4"/>
    <col width="5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8" customWidth="1" min="11" max="11"/>
    <col width="42" customWidth="1" min="12" max="12"/>
    <col width="10" customWidth="1" min="13" max="13"/>
  </cols>
  <sheetData>
    <row r="1">
      <c r="A1" s="6" t="inlineStr">
        <is>
          <t>ID</t>
        </is>
      </c>
      <c r="B1" s="6" t="inlineStr">
        <is>
          <t>Feature</t>
        </is>
      </c>
      <c r="C1" s="6" t="inlineStr">
        <is>
          <t>Phase</t>
        </is>
      </c>
      <c r="D1" s="6" t="inlineStr">
        <is>
          <t>Domaine</t>
        </is>
      </c>
      <c r="E1" s="6" t="inlineStr">
        <is>
          <t>Description</t>
        </is>
      </c>
      <c r="F1" s="6" t="inlineStr">
        <is>
          <t>Reach</t>
        </is>
      </c>
      <c r="G1" s="6" t="inlineStr">
        <is>
          <t>Impact</t>
        </is>
      </c>
      <c r="H1" s="6" t="inlineStr">
        <is>
          <t>Confidence</t>
        </is>
      </c>
      <c r="I1" s="6" t="inlineStr">
        <is>
          <t>Effort (sem)</t>
        </is>
      </c>
      <c r="J1" s="6" t="inlineStr">
        <is>
          <t>Score RICE</t>
        </is>
      </c>
      <c r="K1" s="6" t="inlineStr">
        <is>
          <t>Dépendances</t>
        </is>
      </c>
      <c r="L1" s="6" t="inlineStr">
        <is>
          <t>Critères acceptation</t>
        </is>
      </c>
      <c r="M1" s="6" t="inlineStr">
        <is>
          <t>Priorité</t>
        </is>
      </c>
    </row>
    <row r="2" ht="38" customHeight="1">
      <c r="A2" s="7" t="inlineStr">
        <is>
          <t>F1</t>
        </is>
      </c>
      <c r="B2" s="7" t="inlineStr">
        <is>
          <t>Cockpit consolidé</t>
        </is>
      </c>
      <c r="C2" s="8" t="inlineStr">
        <is>
          <t>MVP</t>
        </is>
      </c>
      <c r="D2" s="7" t="inlineStr">
        <is>
          <t>Fondation</t>
        </is>
      </c>
      <c r="E2" s="7" t="inlineStr">
        <is>
          <t>Page d'accueil avec intention, Big Rocks, tâches, RDV, props IA.</t>
        </is>
      </c>
      <c r="F2" s="7" t="n">
        <v>10</v>
      </c>
      <c r="G2" s="7" t="n">
        <v>3</v>
      </c>
      <c r="H2" s="7" t="n">
        <v>0.9</v>
      </c>
      <c r="I2" s="7" t="n">
        <v>2</v>
      </c>
      <c r="J2" s="9">
        <f>ROUND(F2*G2*H2/I2,1)</f>
        <v/>
      </c>
      <c r="K2" s="7" t="inlineStr">
        <is>
          <t>Lecture &lt;10s, actions &lt;30s, 5 widgets.</t>
        </is>
      </c>
      <c r="L2" s="7" t="inlineStr">
        <is>
          <t>P0</t>
        </is>
      </c>
      <c r="M2" s="10" t="n"/>
    </row>
    <row r="3" ht="38" customHeight="1">
      <c r="A3" s="7" t="inlineStr">
        <is>
          <t>F2</t>
        </is>
      </c>
      <c r="B3" s="7" t="inlineStr">
        <is>
          <t>Vue par société</t>
        </is>
      </c>
      <c r="C3" s="8" t="inlineStr">
        <is>
          <t>MVP</t>
        </is>
      </c>
      <c r="D3" s="7" t="inlineStr">
        <is>
          <t>Fondation</t>
        </is>
      </c>
      <c r="E3" s="7" t="inlineStr">
        <is>
          <t>Page dédiée par entité (Adabu, Start, AMANI, ETIC) avec intention, décisions, chantiers, équipe.</t>
        </is>
      </c>
      <c r="F3" s="7" t="n">
        <v>10</v>
      </c>
      <c r="G3" s="7" t="n">
        <v>3</v>
      </c>
      <c r="H3" s="7" t="n">
        <v>0.9</v>
      </c>
      <c r="I3" s="7" t="n">
        <v>2</v>
      </c>
      <c r="J3" s="9">
        <f>ROUND(F3*G3*H3/I3,1)</f>
        <v/>
      </c>
      <c r="K3" s="7" t="inlineStr">
        <is>
          <t>Navigation fluide, filtres opérationnels.</t>
        </is>
      </c>
      <c r="L3" s="7" t="inlineStr">
        <is>
          <t>P0</t>
        </is>
      </c>
      <c r="M3" s="10" t="n"/>
    </row>
    <row r="4" ht="38" customHeight="1">
      <c r="A4" s="7" t="inlineStr">
        <is>
          <t>F3</t>
        </is>
      </c>
      <c r="B4" s="7" t="inlineStr">
        <is>
          <t>Revue hebdo manuelle</t>
        </is>
      </c>
      <c r="C4" s="8" t="inlineStr">
        <is>
          <t>MVP</t>
        </is>
      </c>
      <c r="D4" s="7" t="inlineStr">
        <is>
          <t>Rituel</t>
        </is>
      </c>
      <c r="E4" s="7" t="inlineStr">
        <is>
          <t>Écran de revue hebdo avec Big Rocks, bilan S-1, cap S+1.</t>
        </is>
      </c>
      <c r="F4" s="7" t="n">
        <v>10</v>
      </c>
      <c r="G4" s="7" t="n">
        <v>3</v>
      </c>
      <c r="H4" s="7" t="n">
        <v>0.85</v>
      </c>
      <c r="I4" s="7" t="n">
        <v>2</v>
      </c>
      <c r="J4" s="9">
        <f>ROUND(F4*G4*H4/I4,1)</f>
        <v/>
      </c>
      <c r="K4" s="7" t="inlineStr">
        <is>
          <t>Template rempli en &lt;15min.</t>
        </is>
      </c>
      <c r="L4" s="7" t="inlineStr">
        <is>
          <t>P0</t>
        </is>
      </c>
      <c r="M4" s="10" t="n"/>
    </row>
    <row r="5" ht="38" customHeight="1">
      <c r="A5" s="7" t="inlineStr">
        <is>
          <t>F4</t>
        </is>
      </c>
      <c r="B5" s="7" t="inlineStr">
        <is>
          <t>Agenda consolidé</t>
        </is>
      </c>
      <c r="C5" s="8" t="inlineStr">
        <is>
          <t>MVP</t>
        </is>
      </c>
      <c r="D5" s="7" t="inlineStr">
        <is>
          <t>Fondation</t>
        </is>
      </c>
      <c r="E5" s="7" t="inlineStr">
        <is>
          <t>Grille 7j×heures, events multi-sources (Outlook + perso), portlets Twisty.</t>
        </is>
      </c>
      <c r="F5" s="7" t="n">
        <v>10</v>
      </c>
      <c r="G5" s="7" t="n">
        <v>3</v>
      </c>
      <c r="H5" s="7" t="n">
        <v>0.9</v>
      </c>
      <c r="I5" s="7" t="n">
        <v>2</v>
      </c>
      <c r="J5" s="9">
        <f>ROUND(F5*G5*H5/I5,1)</f>
        <v/>
      </c>
      <c r="K5" s="7" t="inlineStr">
        <is>
          <t>Affichage 7 jours, catégorisation visuelle.</t>
        </is>
      </c>
      <c r="L5" s="7" t="inlineStr">
        <is>
          <t>P0</t>
        </is>
      </c>
      <c r="M5" s="10" t="n"/>
    </row>
    <row r="6" ht="38" customHeight="1">
      <c r="A6" s="7" t="inlineStr">
        <is>
          <t>F5</t>
        </is>
      </c>
      <c r="B6" s="7" t="inlineStr">
        <is>
          <t>Tâches unifiées</t>
        </is>
      </c>
      <c r="C6" s="8" t="inlineStr">
        <is>
          <t>MVP</t>
        </is>
      </c>
      <c r="D6" s="7" t="inlineStr">
        <is>
          <t>Fondation</t>
        </is>
      </c>
      <c r="E6" s="7" t="inlineStr">
        <is>
          <t>Liste multi-sources, filtres, bouton déléguer.</t>
        </is>
      </c>
      <c r="F6" s="7" t="n">
        <v>10</v>
      </c>
      <c r="G6" s="7" t="n">
        <v>3</v>
      </c>
      <c r="H6" s="7" t="n">
        <v>0.9</v>
      </c>
      <c r="I6" s="7" t="n">
        <v>2</v>
      </c>
      <c r="J6" s="9">
        <f>ROUND(F6*G6*H6/I6,1)</f>
        <v/>
      </c>
      <c r="K6" s="7" t="inlineStr">
        <is>
          <t>Liste filtrable, tri multi-critères.</t>
        </is>
      </c>
      <c r="L6" s="7" t="inlineStr">
        <is>
          <t>P0</t>
        </is>
      </c>
      <c r="M6" s="10" t="n"/>
    </row>
    <row r="7" ht="38" customHeight="1">
      <c r="A7" s="7" t="inlineStr">
        <is>
          <t>F6</t>
        </is>
      </c>
      <c r="B7" s="7" t="inlineStr">
        <is>
          <t>Intégration Outlook (Mail + Calendar)</t>
        </is>
      </c>
      <c r="C7" s="8" t="inlineStr">
        <is>
          <t>MVP</t>
        </is>
      </c>
      <c r="D7" s="7" t="inlineStr">
        <is>
          <t>Intégration</t>
        </is>
      </c>
      <c r="E7" s="7" t="inlineStr">
        <is>
          <t>OAuth Entra ID, delta sync 15min, Mail.Read + Calendars.Read.</t>
        </is>
      </c>
      <c r="F7" s="7" t="n">
        <v>10</v>
      </c>
      <c r="G7" s="7" t="n">
        <v>3</v>
      </c>
      <c r="H7" s="7" t="n">
        <v>0.95</v>
      </c>
      <c r="I7" s="7" t="n">
        <v>3</v>
      </c>
      <c r="J7" s="9">
        <f>ROUND(F7*G7*H7/I7,1)</f>
        <v/>
      </c>
      <c r="K7" s="7" t="inlineStr">
        <is>
          <t>Sync fiable, renouvellement tokens auto.</t>
        </is>
      </c>
      <c r="L7" s="7" t="inlineStr">
        <is>
          <t>P0</t>
        </is>
      </c>
      <c r="M7" s="10" t="n"/>
    </row>
    <row r="8" ht="38" customHeight="1">
      <c r="A8" s="7" t="inlineStr">
        <is>
          <t>F7</t>
        </is>
      </c>
      <c r="B8" s="7" t="inlineStr">
        <is>
          <t>Copilote réactif (chat)</t>
        </is>
      </c>
      <c r="C8" s="8" t="inlineStr">
        <is>
          <t>MVP</t>
        </is>
      </c>
      <c r="D8" s="7" t="inlineStr">
        <is>
          <t>IA</t>
        </is>
      </c>
      <c r="E8" s="7" t="inlineStr">
        <is>
          <t>Chat latéral qui répond, rédige brouillons, résume.</t>
        </is>
      </c>
      <c r="F8" s="7" t="n">
        <v>10</v>
      </c>
      <c r="G8" s="7" t="n">
        <v>3</v>
      </c>
      <c r="H8" s="7" t="n">
        <v>0.85</v>
      </c>
      <c r="I8" s="7" t="n">
        <v>3</v>
      </c>
      <c r="J8" s="9">
        <f>ROUND(F8*G8*H8/I8,1)</f>
        <v/>
      </c>
      <c r="K8" s="7" t="inlineStr">
        <is>
          <t>Réponse &lt;3s, traçabilité sources.</t>
        </is>
      </c>
      <c r="L8" s="7" t="inlineStr">
        <is>
          <t>P0</t>
        </is>
      </c>
      <c r="M8" s="10" t="n"/>
    </row>
    <row r="9" ht="38" customHeight="1">
      <c r="A9" s="7" t="inlineStr">
        <is>
          <t>F8</t>
        </is>
      </c>
      <c r="B9" s="7" t="inlineStr">
        <is>
          <t>Délégation assistée</t>
        </is>
      </c>
      <c r="C9" s="8" t="inlineStr">
        <is>
          <t>MVP</t>
        </is>
      </c>
      <c r="D9" s="7" t="inlineStr">
        <is>
          <t>Délégation</t>
        </is>
      </c>
      <c r="E9" s="7" t="inlineStr">
        <is>
          <t>Bouton déléguer, brief IA pré-rédigé, mail envoyé, suivi créé.</t>
        </is>
      </c>
      <c r="F9" s="7" t="n">
        <v>10</v>
      </c>
      <c r="G9" s="7" t="n">
        <v>3</v>
      </c>
      <c r="H9" s="7" t="n">
        <v>0.9</v>
      </c>
      <c r="I9" s="7" t="n">
        <v>3</v>
      </c>
      <c r="J9" s="9">
        <f>ROUND(F9*G9*H9/I9,1)</f>
        <v/>
      </c>
      <c r="K9" s="7" t="inlineStr">
        <is>
          <t>Brief généré en &lt;5s, suivi automatique.</t>
        </is>
      </c>
      <c r="L9" s="7" t="inlineStr">
        <is>
          <t>P0</t>
        </is>
      </c>
      <c r="M9" s="10" t="n"/>
    </row>
    <row r="10" ht="38" customHeight="1">
      <c r="A10" s="7" t="inlineStr">
        <is>
          <t>F9</t>
        </is>
      </c>
      <c r="B10" s="7" t="inlineStr">
        <is>
          <t>Traçabilité minimale</t>
        </is>
      </c>
      <c r="C10" s="8" t="inlineStr">
        <is>
          <t>MVP</t>
        </is>
      </c>
      <c r="D10" s="7" t="inlineStr">
        <is>
          <t>Transparence</t>
        </is>
      </c>
      <c r="E10" s="7" t="inlineStr">
        <is>
          <t>Chaque prop a source, bouton pourquoi, historique.</t>
        </is>
      </c>
      <c r="F10" s="7" t="n">
        <v>10</v>
      </c>
      <c r="G10" s="7" t="n">
        <v>2.5</v>
      </c>
      <c r="H10" s="7" t="n">
        <v>0.9</v>
      </c>
      <c r="I10" s="7" t="n">
        <v>1</v>
      </c>
      <c r="J10" s="9">
        <f>ROUND(F10*G10*H10/I10,1)</f>
        <v/>
      </c>
      <c r="K10" s="7" t="inlineStr">
        <is>
          <t>100% des props ont source affichée.</t>
        </is>
      </c>
      <c r="L10" s="7" t="inlineStr">
        <is>
          <t>P0</t>
        </is>
      </c>
      <c r="M10" s="10" t="n"/>
    </row>
    <row r="11" ht="38" customHeight="1">
      <c r="A11" s="7" t="inlineStr">
        <is>
          <t>F10</t>
        </is>
      </c>
      <c r="B11" s="7" t="inlineStr">
        <is>
          <t>Copilote proactif (Inngest)</t>
        </is>
      </c>
      <c r="C11" s="11" t="inlineStr">
        <is>
          <t>V1</t>
        </is>
      </c>
      <c r="D11" s="7" t="inlineStr">
        <is>
          <t>IA</t>
        </is>
      </c>
      <c r="E11" s="7" t="inlineStr">
        <is>
          <t>Jobs scheduled + webhooks. Sub-agents mail/cal/task/deleg/prep/review.</t>
        </is>
      </c>
      <c r="F11" s="7" t="n">
        <v>10</v>
      </c>
      <c r="G11" s="7" t="n">
        <v>3</v>
      </c>
      <c r="H11" s="7" t="n">
        <v>0.7</v>
      </c>
      <c r="I11" s="7" t="n">
        <v>5</v>
      </c>
      <c r="J11" s="9">
        <f>ROUND(F11*G11*H11/I11,1)</f>
        <v/>
      </c>
      <c r="K11" s="7" t="inlineStr">
        <is>
          <t>15 props/j stable, 0 plantage/sem.</t>
        </is>
      </c>
      <c r="L11" s="7" t="inlineStr">
        <is>
          <t>P0</t>
        </is>
      </c>
      <c r="M11" s="10" t="n"/>
    </row>
    <row r="12" ht="38" customHeight="1">
      <c r="A12" s="7" t="inlineStr">
        <is>
          <t>F11</t>
        </is>
      </c>
      <c r="B12" s="7" t="inlineStr">
        <is>
          <t>Mémoire long-terme (pgvector)</t>
        </is>
      </c>
      <c r="C12" s="11" t="inlineStr">
        <is>
          <t>V1</t>
        </is>
      </c>
      <c r="D12" s="7" t="inlineStr">
        <is>
          <t>IA</t>
        </is>
      </c>
      <c r="E12" s="7" t="inlineStr">
        <is>
          <t>3 strates (identity/preference/episode), résumés roulants hebdo.</t>
        </is>
      </c>
      <c r="F12" s="7" t="n">
        <v>10</v>
      </c>
      <c r="G12" s="7" t="n">
        <v>2.5</v>
      </c>
      <c r="H12" s="7" t="n">
        <v>0.7</v>
      </c>
      <c r="I12" s="7" t="n">
        <v>4</v>
      </c>
      <c r="J12" s="9">
        <f>ROUND(F12*G12*H12/I12,1)</f>
        <v/>
      </c>
      <c r="K12" s="7" t="inlineStr">
        <is>
          <t>Strates séparées, récupération &lt;200ms.</t>
        </is>
      </c>
      <c r="L12" s="7" t="inlineStr">
        <is>
          <t>P0</t>
        </is>
      </c>
      <c r="M12" s="10" t="n"/>
    </row>
    <row r="13" ht="38" customHeight="1">
      <c r="A13" s="7" t="inlineStr">
        <is>
          <t>F12</t>
        </is>
      </c>
      <c r="B13" s="7" t="inlineStr">
        <is>
          <t>Rituels intégrés</t>
        </is>
      </c>
      <c r="C13" s="11" t="inlineStr">
        <is>
          <t>V1</t>
        </is>
      </c>
      <c r="D13" s="7" t="inlineStr">
        <is>
          <t>Rituel</t>
        </is>
      </c>
      <c r="E13" s="7" t="inlineStr">
        <is>
          <t>Matin (check-in + top 3), soir (shutdown), dimanche (revue auto).</t>
        </is>
      </c>
      <c r="F13" s="7" t="n">
        <v>10</v>
      </c>
      <c r="G13" s="7" t="n">
        <v>3</v>
      </c>
      <c r="H13" s="7" t="n">
        <v>0.85</v>
      </c>
      <c r="I13" s="7" t="n">
        <v>2</v>
      </c>
      <c r="J13" s="9">
        <f>ROUND(F13*G13*H13/I13,1)</f>
        <v/>
      </c>
      <c r="K13" s="7" t="inlineStr">
        <is>
          <t>Adoption ≥80% jours ouvrés.</t>
        </is>
      </c>
      <c r="L13" s="7" t="inlineStr">
        <is>
          <t>P0</t>
        </is>
      </c>
      <c r="M13" s="10" t="n"/>
    </row>
    <row r="14" ht="38" customHeight="1">
      <c r="A14" s="7" t="inlineStr">
        <is>
          <t>F13</t>
        </is>
      </c>
      <c r="B14" s="7" t="inlineStr">
        <is>
          <t>Délégation pro (matrice confiance)</t>
        </is>
      </c>
      <c r="C14" s="11" t="inlineStr">
        <is>
          <t>V1</t>
        </is>
      </c>
      <c r="D14" s="7" t="inlineStr">
        <is>
          <t>Délégation</t>
        </is>
      </c>
      <c r="E14" s="7" t="inlineStr">
        <is>
          <t>Matrice silencieuse par équipier, propriétaire naturel, suivi J+2/J+5.</t>
        </is>
      </c>
      <c r="F14" s="7" t="n">
        <v>10</v>
      </c>
      <c r="G14" s="7" t="n">
        <v>3</v>
      </c>
      <c r="H14" s="7" t="n">
        <v>0.8</v>
      </c>
      <c r="I14" s="7" t="n">
        <v>3</v>
      </c>
      <c r="J14" s="9">
        <f>ROUND(F14*G14*H14/I14,1)</f>
        <v/>
      </c>
      <c r="K14" s="7" t="inlineStr">
        <is>
          <t>≥5 tâches déléguées/sem.</t>
        </is>
      </c>
      <c r="L14" s="7" t="inlineStr">
        <is>
          <t>P0</t>
        </is>
      </c>
      <c r="M14" s="10" t="n"/>
    </row>
    <row r="15" ht="38" customHeight="1">
      <c r="A15" s="7" t="inlineStr">
        <is>
          <t>F14</t>
        </is>
      </c>
      <c r="B15" s="7" t="inlineStr">
        <is>
          <t>Traçabilité totale (Langfuse)</t>
        </is>
      </c>
      <c r="C15" s="11" t="inlineStr">
        <is>
          <t>V1</t>
        </is>
      </c>
      <c r="D15" s="7" t="inlineStr">
        <is>
          <t>Transparence</t>
        </is>
      </c>
      <c r="E15" s="7" t="inlineStr">
        <is>
          <t>Logs agent, UI pourquoi, dashboard transparence visible CEO.</t>
        </is>
      </c>
      <c r="F15" s="7" t="n">
        <v>10</v>
      </c>
      <c r="G15" s="7" t="n">
        <v>2</v>
      </c>
      <c r="H15" s="7" t="n">
        <v>0.85</v>
      </c>
      <c r="I15" s="7" t="n">
        <v>2</v>
      </c>
      <c r="J15" s="9">
        <f>ROUND(F15*G15*H15/I15,1)</f>
        <v/>
      </c>
      <c r="K15" s="7" t="inlineStr">
        <is>
          <t>100% actions auditables.</t>
        </is>
      </c>
      <c r="L15" s="7" t="inlineStr">
        <is>
          <t>P1</t>
        </is>
      </c>
      <c r="M15" s="12" t="n"/>
    </row>
    <row r="16" ht="38" customHeight="1">
      <c r="A16" s="7" t="inlineStr">
        <is>
          <t>F15</t>
        </is>
      </c>
      <c r="B16" s="7" t="inlineStr">
        <is>
          <t>Intégration SharePoint (RAG)</t>
        </is>
      </c>
      <c r="C16" s="11" t="inlineStr">
        <is>
          <t>V1</t>
        </is>
      </c>
      <c r="D16" s="7" t="inlineStr">
        <is>
          <t>Intégration</t>
        </is>
      </c>
      <c r="E16" s="7" t="inlineStr">
        <is>
          <t>Indexation docs, embeddings Voyage-3, permissions trimmées.</t>
        </is>
      </c>
      <c r="F16" s="7" t="n">
        <v>10</v>
      </c>
      <c r="G16" s="7" t="n">
        <v>2</v>
      </c>
      <c r="H16" s="7" t="n">
        <v>0.8</v>
      </c>
      <c r="I16" s="7" t="n">
        <v>3</v>
      </c>
      <c r="J16" s="9">
        <f>ROUND(F16*G16*H16/I16,1)</f>
        <v/>
      </c>
      <c r="K16" s="7" t="inlineStr">
        <is>
          <t>Recherche &lt;1s, 0 fuite perm.</t>
        </is>
      </c>
      <c r="L16" s="7" t="inlineStr">
        <is>
          <t>P1</t>
        </is>
      </c>
      <c r="M16" s="12" t="n"/>
    </row>
    <row r="17" ht="38" customHeight="1">
      <c r="A17" s="7" t="inlineStr">
        <is>
          <t>F16</t>
        </is>
      </c>
      <c r="B17" s="7" t="inlineStr">
        <is>
          <t>Détection burnout (signaux faibles)</t>
        </is>
      </c>
      <c r="C17" s="11" t="inlineStr">
        <is>
          <t>V1</t>
        </is>
      </c>
      <c r="D17" s="7" t="inlineStr">
        <is>
          <t>Coaching</t>
        </is>
      </c>
      <c r="E17" s="7" t="inlineStr">
        <is>
          <t>Croisement mails &gt;22h, weekends actifs, humeur, taux accept.</t>
        </is>
      </c>
      <c r="F17" s="7" t="n">
        <v>10</v>
      </c>
      <c r="G17" s="7" t="n">
        <v>3</v>
      </c>
      <c r="H17" s="7" t="n">
        <v>0.55</v>
      </c>
      <c r="I17" s="7" t="n">
        <v>4</v>
      </c>
      <c r="J17" s="9">
        <f>ROUND(F17*G17*H17/I17,1)</f>
        <v/>
      </c>
      <c r="K17" s="7" t="inlineStr">
        <is>
          <t>Alertes &lt;2/mois, 0 faux positif.</t>
        </is>
      </c>
      <c r="L17" s="7" t="inlineStr">
        <is>
          <t>P1</t>
        </is>
      </c>
      <c r="M17" s="12" t="n"/>
    </row>
    <row r="18" ht="38" customHeight="1">
      <c r="A18" s="7" t="inlineStr">
        <is>
          <t>F17</t>
        </is>
      </c>
      <c r="B18" s="7" t="inlineStr">
        <is>
          <t>Migration SolidJS</t>
        </is>
      </c>
      <c r="C18" s="11" t="inlineStr">
        <is>
          <t>V1</t>
        </is>
      </c>
      <c r="D18" s="7" t="inlineStr">
        <is>
          <t>Tech</t>
        </is>
      </c>
      <c r="E18" s="7" t="inlineStr">
        <is>
          <t>Islands architecture, cockpit puis pages sociétés.</t>
        </is>
      </c>
      <c r="F18" s="7" t="n">
        <v>10</v>
      </c>
      <c r="G18" s="7" t="n">
        <v>2</v>
      </c>
      <c r="H18" s="7" t="n">
        <v>0.75</v>
      </c>
      <c r="I18" s="7" t="n">
        <v>6</v>
      </c>
      <c r="J18" s="9">
        <f>ROUND(F18*G18*H18/I18,1)</f>
        <v/>
      </c>
      <c r="K18" s="7" t="inlineStr">
        <is>
          <t>Parité fonctionnelle, perf +20%.</t>
        </is>
      </c>
      <c r="L18" s="7" t="inlineStr">
        <is>
          <t>P1</t>
        </is>
      </c>
      <c r="M18" s="12" t="n"/>
    </row>
    <row r="19" ht="38" customHeight="1">
      <c r="A19" s="7" t="inlineStr">
        <is>
          <t>F18</t>
        </is>
      </c>
      <c r="B19" s="7" t="inlineStr">
        <is>
          <t>Design system étendu</t>
        </is>
      </c>
      <c r="C19" s="11" t="inlineStr">
        <is>
          <t>V1</t>
        </is>
      </c>
      <c r="D19" s="7" t="inlineStr">
        <is>
          <t>Design</t>
        </is>
      </c>
      <c r="E19" s="7" t="inlineStr">
        <is>
          <t>Drawer, view switcher, source pill, command palette Cmd+K.</t>
        </is>
      </c>
      <c r="F19" s="7" t="n">
        <v>10</v>
      </c>
      <c r="G19" s="7" t="n">
        <v>2.5</v>
      </c>
      <c r="H19" s="7" t="n">
        <v>0.85</v>
      </c>
      <c r="I19" s="7" t="n">
        <v>2</v>
      </c>
      <c r="J19" s="9">
        <f>ROUND(F19*G19*H19/I19,1)</f>
        <v/>
      </c>
      <c r="K19" s="7" t="inlineStr">
        <is>
          <t>Composants documentés.</t>
        </is>
      </c>
      <c r="L19" s="7" t="inlineStr">
        <is>
          <t>P1</t>
        </is>
      </c>
      <c r="M19" s="12" t="n"/>
    </row>
    <row r="20" ht="38" customHeight="1">
      <c r="A20" s="7" t="inlineStr">
        <is>
          <t>F19</t>
        </is>
      </c>
      <c r="B20" s="7" t="inlineStr">
        <is>
          <t>Visualisations riches (carte radiale, arbre, timeline)</t>
        </is>
      </c>
      <c r="C20" s="11" t="inlineStr">
        <is>
          <t>V1</t>
        </is>
      </c>
      <c r="D20" s="7" t="inlineStr">
        <is>
          <t>Visuel</t>
        </is>
      </c>
      <c r="E20" s="7" t="inlineStr">
        <is>
          <t>Carte radiale sociétés, arbre Big Rocks, timeline décisions.</t>
        </is>
      </c>
      <c r="F20" s="7" t="n">
        <v>10</v>
      </c>
      <c r="G20" s="7" t="n">
        <v>3</v>
      </c>
      <c r="H20" s="7" t="n">
        <v>0.8</v>
      </c>
      <c r="I20" s="7" t="n">
        <v>3</v>
      </c>
      <c r="J20" s="9">
        <f>ROUND(F20*G20*H20/I20,1)</f>
        <v/>
      </c>
      <c r="K20" s="7" t="inlineStr">
        <is>
          <t>3 viz opérationnelles, bascule &lt;100ms.</t>
        </is>
      </c>
      <c r="L20" s="7" t="inlineStr">
        <is>
          <t>P0</t>
        </is>
      </c>
      <c r="M20" s="10" t="n"/>
    </row>
    <row r="21" ht="38" customHeight="1">
      <c r="A21" s="7" t="inlineStr">
        <is>
          <t>F20</t>
        </is>
      </c>
      <c r="B21" s="7" t="inlineStr">
        <is>
          <t>Multi-tenant Supabase (RLS)</t>
        </is>
      </c>
      <c r="C21" s="13" t="inlineStr">
        <is>
          <t>V2</t>
        </is>
      </c>
      <c r="D21" s="7" t="inlineStr">
        <is>
          <t>Tech</t>
        </is>
      </c>
      <c r="E21" s="7" t="inlineStr">
        <is>
          <t>Isolation par org, rôles CEO/DG/AE/manager/collab.</t>
        </is>
      </c>
      <c r="F21" s="7" t="n">
        <v>5</v>
      </c>
      <c r="G21" s="7" t="n">
        <v>3</v>
      </c>
      <c r="H21" s="7" t="n">
        <v>0.85</v>
      </c>
      <c r="I21" s="7" t="n">
        <v>4</v>
      </c>
      <c r="J21" s="9">
        <f>ROUND(F21*G21*H21/I21,1)</f>
        <v/>
      </c>
      <c r="K21" s="7" t="inlineStr">
        <is>
          <t>0 fuite cross-tenant, RLS testé.</t>
        </is>
      </c>
      <c r="L21" s="7" t="inlineStr">
        <is>
          <t>P0</t>
        </is>
      </c>
      <c r="M21" s="10" t="n"/>
    </row>
    <row r="22" ht="38" customHeight="1">
      <c r="A22" s="7" t="inlineStr">
        <is>
          <t>F21</t>
        </is>
      </c>
      <c r="B22" s="7" t="inlineStr">
        <is>
          <t>Vues rôle-spécifiques</t>
        </is>
      </c>
      <c r="C22" s="13" t="inlineStr">
        <is>
          <t>V2</t>
        </is>
      </c>
      <c r="D22" s="7" t="inlineStr">
        <is>
          <t>UX</t>
        </is>
      </c>
      <c r="E22" s="7" t="inlineStr">
        <is>
          <t>AE voit agenda+tâches, DG voit décisions+projets, CEO voit tout.</t>
        </is>
      </c>
      <c r="F22" s="7" t="n">
        <v>5</v>
      </c>
      <c r="G22" s="7" t="n">
        <v>3</v>
      </c>
      <c r="H22" s="7" t="n">
        <v>0.8</v>
      </c>
      <c r="I22" s="7" t="n">
        <v>3</v>
      </c>
      <c r="J22" s="9">
        <f>ROUND(F22*G22*H22/I22,1)</f>
        <v/>
      </c>
      <c r="K22" s="7" t="inlineStr">
        <is>
          <t>Matrice permissions documentée.</t>
        </is>
      </c>
      <c r="L22" s="7" t="inlineStr">
        <is>
          <t>P0</t>
        </is>
      </c>
      <c r="M22" s="10" t="n"/>
    </row>
    <row r="23" ht="38" customHeight="1">
      <c r="A23" s="7" t="inlineStr">
        <is>
          <t>F22</t>
        </is>
      </c>
      <c r="B23" s="7" t="inlineStr">
        <is>
          <t>Délégation end-to-end</t>
        </is>
      </c>
      <c r="C23" s="13" t="inlineStr">
        <is>
          <t>V2</t>
        </is>
      </c>
      <c r="D23" s="7" t="inlineStr">
        <is>
          <t>Délégation</t>
        </is>
      </c>
      <c r="E23" s="7" t="inlineStr">
        <is>
          <t>Tâche déléguée apparaît chez destinataire, suivi bilatéral.</t>
        </is>
      </c>
      <c r="F23" s="7" t="n">
        <v>5</v>
      </c>
      <c r="G23" s="7" t="n">
        <v>3</v>
      </c>
      <c r="H23" s="7" t="n">
        <v>0.75</v>
      </c>
      <c r="I23" s="7" t="n">
        <v>4</v>
      </c>
      <c r="J23" s="9">
        <f>ROUND(F23*G23*H23/I23,1)</f>
        <v/>
      </c>
      <c r="K23" s="7" t="inlineStr">
        <is>
          <t>Cycle complet testé 20 tâches.</t>
        </is>
      </c>
      <c r="L23" s="7" t="inlineStr">
        <is>
          <t>P0</t>
        </is>
      </c>
      <c r="M23" s="10" t="n"/>
    </row>
    <row r="24" ht="38" customHeight="1">
      <c r="A24" s="7" t="inlineStr">
        <is>
          <t>F23</t>
        </is>
      </c>
      <c r="B24" s="7" t="inlineStr">
        <is>
          <t>Intégration Teams</t>
        </is>
      </c>
      <c r="C24" s="13" t="inlineStr">
        <is>
          <t>V2</t>
        </is>
      </c>
      <c r="D24" s="7" t="inlineStr">
        <is>
          <t>Intégration</t>
        </is>
      </c>
      <c r="E24" s="7" t="inlineStr">
        <is>
          <t>Messages directs, mentions, présence, ping équipier.</t>
        </is>
      </c>
      <c r="F24" s="7" t="n">
        <v>5</v>
      </c>
      <c r="G24" s="7" t="n">
        <v>2.5</v>
      </c>
      <c r="H24" s="7" t="n">
        <v>0.75</v>
      </c>
      <c r="I24" s="7" t="n">
        <v>3</v>
      </c>
      <c r="J24" s="9">
        <f>ROUND(F24*G24*H24/I24,1)</f>
        <v/>
      </c>
      <c r="K24" s="7" t="inlineStr">
        <is>
          <t>Sync temps réel &lt;2s.</t>
        </is>
      </c>
      <c r="L24" s="7" t="inlineStr">
        <is>
          <t>P1</t>
        </is>
      </c>
      <c r="M24" s="12" t="n"/>
    </row>
    <row r="25" ht="38" customHeight="1">
      <c r="A25" s="7" t="inlineStr">
        <is>
          <t>F24</t>
        </is>
      </c>
      <c r="B25" s="7" t="inlineStr">
        <is>
          <t>Comité stratégique intégré</t>
        </is>
      </c>
      <c r="C25" s="13" t="inlineStr">
        <is>
          <t>V2</t>
        </is>
      </c>
      <c r="D25" s="7" t="inlineStr">
        <is>
          <t>Workflow</t>
        </is>
      </c>
      <c r="E25" s="7" t="inlineStr">
        <is>
          <t>ODJ + briefs IA + canvas décision + PV auto + suivis.</t>
        </is>
      </c>
      <c r="F25" s="7" t="n">
        <v>2</v>
      </c>
      <c r="G25" s="7" t="n">
        <v>3</v>
      </c>
      <c r="H25" s="7" t="n">
        <v>0.65</v>
      </c>
      <c r="I25" s="7" t="n">
        <v>4</v>
      </c>
      <c r="J25" s="9">
        <f>ROUND(F25*G25*H25/I25,1)</f>
        <v/>
      </c>
      <c r="K25" s="7" t="inlineStr">
        <is>
          <t>Comité préparé en &lt;30min.</t>
        </is>
      </c>
      <c r="L25" s="7" t="inlineStr">
        <is>
          <t>P1</t>
        </is>
      </c>
      <c r="M25" s="12" t="n"/>
    </row>
    <row r="26" ht="38" customHeight="1">
      <c r="A26" s="7" t="inlineStr">
        <is>
          <t>F25</t>
        </is>
      </c>
      <c r="B26" s="7" t="inlineStr">
        <is>
          <t>Canvas tldraw + agent visible</t>
        </is>
      </c>
      <c r="C26" s="13" t="inlineStr">
        <is>
          <t>V2</t>
        </is>
      </c>
      <c r="D26" s="7" t="inlineStr">
        <is>
          <t>Visuel</t>
        </is>
      </c>
      <c r="E26" s="7" t="inlineStr">
        <is>
          <t>Pensée visuelle collaborative, agent réorganise.</t>
        </is>
      </c>
      <c r="F26" s="7" t="n">
        <v>10</v>
      </c>
      <c r="G26" s="7" t="n">
        <v>2.5</v>
      </c>
      <c r="H26" s="7" t="n">
        <v>0.6</v>
      </c>
      <c r="I26" s="7" t="n">
        <v>6</v>
      </c>
      <c r="J26" s="9">
        <f>ROUND(F26*G26*H26/I26,1)</f>
        <v/>
      </c>
      <c r="K26" s="7" t="inlineStr">
        <is>
          <t>Latence agent &lt;500ms, collab temps réel.</t>
        </is>
      </c>
      <c r="L26" s="7" t="inlineStr">
        <is>
          <t>P0</t>
        </is>
      </c>
      <c r="M26" s="10" t="n"/>
    </row>
    <row r="27" ht="38" customHeight="1">
      <c r="A27" s="7" t="inlineStr">
        <is>
          <t>F26</t>
        </is>
      </c>
      <c r="B27" s="7" t="inlineStr">
        <is>
          <t>Graphe Cytoscape</t>
        </is>
      </c>
      <c r="C27" s="13" t="inlineStr">
        <is>
          <t>V2</t>
        </is>
      </c>
      <c r="D27" s="7" t="inlineStr">
        <is>
          <t>Visuel</t>
        </is>
      </c>
      <c r="E27" s="7" t="inlineStr">
        <is>
          <t>Réseau parties prenantes, dépendances inter-projets.</t>
        </is>
      </c>
      <c r="F27" s="7" t="n">
        <v>10</v>
      </c>
      <c r="G27" s="7" t="n">
        <v>2.5</v>
      </c>
      <c r="H27" s="7" t="n">
        <v>0.75</v>
      </c>
      <c r="I27" s="7" t="n">
        <v>3</v>
      </c>
      <c r="J27" s="9">
        <f>ROUND(F27*G27*H27/I27,1)</f>
        <v/>
      </c>
      <c r="K27" s="7" t="inlineStr">
        <is>
          <t>Navigation fluide 100+ nœuds.</t>
        </is>
      </c>
      <c r="L27" s="7" t="inlineStr">
        <is>
          <t>P1</t>
        </is>
      </c>
      <c r="M27" s="12" t="n"/>
    </row>
    <row r="28" ht="38" customHeight="1">
      <c r="A28" s="7" t="inlineStr">
        <is>
          <t>F27</t>
        </is>
      </c>
      <c r="B28" s="7" t="inlineStr">
        <is>
          <t>Dashboard équipe</t>
        </is>
      </c>
      <c r="C28" s="13" t="inlineStr">
        <is>
          <t>V2</t>
        </is>
      </c>
      <c r="D28" s="7" t="inlineStr">
        <is>
          <t>UX</t>
        </is>
      </c>
      <c r="E28" s="7" t="inlineStr">
        <is>
          <t>Matrice charge/confiance par équipier.</t>
        </is>
      </c>
      <c r="F28" s="7" t="n">
        <v>5</v>
      </c>
      <c r="G28" s="7" t="n">
        <v>2</v>
      </c>
      <c r="H28" s="7" t="n">
        <v>0.7</v>
      </c>
      <c r="I28" s="7" t="n">
        <v>2</v>
      </c>
      <c r="J28" s="9">
        <f>ROUND(F28*G28*H28/I28,1)</f>
        <v/>
      </c>
      <c r="K28" s="7" t="inlineStr">
        <is>
          <t>Charges à jour &lt;1j.</t>
        </is>
      </c>
      <c r="L28" s="7" t="inlineStr">
        <is>
          <t>P2</t>
        </is>
      </c>
      <c r="M28" s="14" t="n"/>
    </row>
    <row r="29" ht="38" customHeight="1">
      <c r="A29" s="7" t="inlineStr">
        <is>
          <t>F28</t>
        </is>
      </c>
      <c r="B29" s="7" t="inlineStr">
        <is>
          <t>SOC 2 Type II</t>
        </is>
      </c>
      <c r="C29" s="13" t="inlineStr">
        <is>
          <t>V2</t>
        </is>
      </c>
      <c r="D29" s="7" t="inlineStr">
        <is>
          <t>Compliance</t>
        </is>
      </c>
      <c r="E29" s="7" t="inlineStr">
        <is>
          <t>Audit Vanta/Drata, conformité RGPD complète.</t>
        </is>
      </c>
      <c r="F29" s="7" t="n">
        <v>5</v>
      </c>
      <c r="G29" s="7" t="n">
        <v>3</v>
      </c>
      <c r="H29" s="7" t="n">
        <v>0.9</v>
      </c>
      <c r="I29" s="7" t="n">
        <v>4</v>
      </c>
      <c r="J29" s="9">
        <f>ROUND(F29*G29*H29/I29,1)</f>
        <v/>
      </c>
      <c r="K29" s="7" t="inlineStr">
        <is>
          <t>Certification obtenue.</t>
        </is>
      </c>
      <c r="L29" s="7" t="inlineStr">
        <is>
          <t>P0</t>
        </is>
      </c>
      <c r="M29" s="10" t="n"/>
    </row>
    <row r="30" ht="38" customHeight="1">
      <c r="A30" s="7" t="inlineStr">
        <is>
          <t>F29</t>
        </is>
      </c>
      <c r="B30" s="7" t="inlineStr">
        <is>
          <t>Coach conversationnel</t>
        </is>
      </c>
      <c r="C30" s="15" t="inlineStr">
        <is>
          <t>V3</t>
        </is>
      </c>
      <c r="D30" s="7" t="inlineStr">
        <is>
          <t>Coaching</t>
        </is>
      </c>
      <c r="E30" s="7" t="inlineStr">
        <is>
          <t>Modes arbitrage / coincé / revue stoïque (Claude Opus).</t>
        </is>
      </c>
      <c r="F30" s="7" t="n">
        <v>10</v>
      </c>
      <c r="G30" s="7" t="n">
        <v>2.5</v>
      </c>
      <c r="H30" s="7" t="n">
        <v>0.5</v>
      </c>
      <c r="I30" s="7" t="n">
        <v>5</v>
      </c>
      <c r="J30" s="9">
        <f>ROUND(F30*G30*H30/I30,1)</f>
        <v/>
      </c>
      <c r="K30" s="7" t="inlineStr">
        <is>
          <t>3 scénarios testés, 70% satisfaction.</t>
        </is>
      </c>
      <c r="L30" s="7" t="inlineStr">
        <is>
          <t>P1</t>
        </is>
      </c>
      <c r="M30" s="12" t="n"/>
    </row>
    <row r="31" ht="38" customHeight="1">
      <c r="A31" s="7" t="inlineStr">
        <is>
          <t>F30</t>
        </is>
      </c>
      <c r="B31" s="7" t="inlineStr">
        <is>
          <t>Journal de reconnaissance</t>
        </is>
      </c>
      <c r="C31" s="15" t="inlineStr">
        <is>
          <t>V3</t>
        </is>
      </c>
      <c r="D31" s="7" t="inlineStr">
        <is>
          <t>Bien-être</t>
        </is>
      </c>
      <c r="E31" s="7" t="inlineStr">
        <is>
          <t>Module 3 reconnaissances/j, visible sur demande.</t>
        </is>
      </c>
      <c r="F31" s="7" t="n">
        <v>10</v>
      </c>
      <c r="G31" s="7" t="n">
        <v>1.5</v>
      </c>
      <c r="H31" s="7" t="n">
        <v>0.8</v>
      </c>
      <c r="I31" s="7" t="n">
        <v>1</v>
      </c>
      <c r="J31" s="9">
        <f>ROUND(F31*G31*H31/I31,1)</f>
        <v/>
      </c>
      <c r="K31" s="7" t="inlineStr">
        <is>
          <t>Intégration discrète.</t>
        </is>
      </c>
      <c r="L31" s="7" t="inlineStr">
        <is>
          <t>P2</t>
        </is>
      </c>
      <c r="M31" s="14" t="n"/>
    </row>
    <row r="32" ht="38" customHeight="1">
      <c r="A32" s="7" t="inlineStr">
        <is>
          <t>F31</t>
        </is>
      </c>
      <c r="B32" s="7" t="inlineStr">
        <is>
          <t>Détection burnout active</t>
        </is>
      </c>
      <c r="C32" s="15" t="inlineStr">
        <is>
          <t>V3</t>
        </is>
      </c>
      <c r="D32" s="7" t="inlineStr">
        <is>
          <t>Coaching</t>
        </is>
      </c>
      <c r="E32" s="7" t="inlineStr">
        <is>
          <t>Interventions graduées : question → nudge → bloc focus → journée off.</t>
        </is>
      </c>
      <c r="F32" s="7" t="n">
        <v>10</v>
      </c>
      <c r="G32" s="7" t="n">
        <v>3</v>
      </c>
      <c r="H32" s="7" t="n">
        <v>0.55</v>
      </c>
      <c r="I32" s="7" t="n">
        <v>4</v>
      </c>
      <c r="J32" s="9">
        <f>ROUND(F32*G32*H32/I32,1)</f>
        <v/>
      </c>
      <c r="K32" s="7" t="inlineStr">
        <is>
          <t>Taux faux positif &lt;5%.</t>
        </is>
      </c>
      <c r="L32" s="7" t="inlineStr">
        <is>
          <t>P1</t>
        </is>
      </c>
      <c r="M32" s="12" t="n"/>
    </row>
    <row r="33" ht="38" customHeight="1">
      <c r="A33" s="7" t="inlineStr">
        <is>
          <t>F32</t>
        </is>
      </c>
      <c r="B33" s="7" t="inlineStr">
        <is>
          <t>Boîte à outils psycho</t>
        </is>
      </c>
      <c r="C33" s="15" t="inlineStr">
        <is>
          <t>V3</t>
        </is>
      </c>
      <c r="D33" s="7" t="inlineStr">
        <is>
          <t>Bien-être</t>
        </is>
      </c>
      <c r="E33" s="7" t="inlineStr">
        <is>
          <t>Respiration, méditations, recadrage, carnet victoires.</t>
        </is>
      </c>
      <c r="F33" s="7" t="n">
        <v>10</v>
      </c>
      <c r="G33" s="7" t="n">
        <v>2</v>
      </c>
      <c r="H33" s="7" t="n">
        <v>0.8</v>
      </c>
      <c r="I33" s="7" t="n">
        <v>3</v>
      </c>
      <c r="J33" s="9">
        <f>ROUND(F33*G33*H33/I33,1)</f>
        <v/>
      </c>
      <c r="K33" s="7" t="inlineStr">
        <is>
          <t>5 outils disponibles.</t>
        </is>
      </c>
      <c r="L33" s="7" t="inlineStr">
        <is>
          <t>P2</t>
        </is>
      </c>
      <c r="M33" s="14" t="n"/>
    </row>
    <row r="34" ht="38" customHeight="1">
      <c r="A34" s="7" t="inlineStr">
        <is>
          <t>F33</t>
        </is>
      </c>
      <c r="B34" s="7" t="inlineStr">
        <is>
          <t>Post-mortem automatique</t>
        </is>
      </c>
      <c r="C34" s="15" t="inlineStr">
        <is>
          <t>V3</t>
        </is>
      </c>
      <c r="D34" s="7" t="inlineStr">
        <is>
          <t>Coaching</t>
        </is>
      </c>
      <c r="E34" s="7" t="inlineStr">
        <is>
          <t>Rétro structurée sur Big Rock échoué ou décision non concrétisée.</t>
        </is>
      </c>
      <c r="F34" s="7" t="n">
        <v>10</v>
      </c>
      <c r="G34" s="7" t="n">
        <v>2</v>
      </c>
      <c r="H34" s="7" t="n">
        <v>0.7</v>
      </c>
      <c r="I34" s="7" t="n">
        <v>2</v>
      </c>
      <c r="J34" s="9">
        <f>ROUND(F34*G34*H34/I34,1)</f>
        <v/>
      </c>
      <c r="K34" s="7" t="inlineStr">
        <is>
          <t>Template utile testé 5 cas.</t>
        </is>
      </c>
      <c r="L34" s="7" t="inlineStr">
        <is>
          <t>P2</t>
        </is>
      </c>
      <c r="M34" s="14" t="n"/>
    </row>
    <row r="35" ht="38" customHeight="1">
      <c r="A35" s="7" t="inlineStr">
        <is>
          <t>F34</t>
        </is>
      </c>
      <c r="B35" s="7" t="inlineStr">
        <is>
          <t>Offline-first (ElectricSQL)</t>
        </is>
      </c>
      <c r="C35" s="15" t="inlineStr">
        <is>
          <t>V3</t>
        </is>
      </c>
      <c r="D35" s="7" t="inlineStr">
        <is>
          <t>Tech</t>
        </is>
      </c>
      <c r="E35" s="7" t="inlineStr">
        <is>
          <t>Sync Postgres ↔ SQLite, usage en avion.</t>
        </is>
      </c>
      <c r="F35" s="7" t="n">
        <v>10</v>
      </c>
      <c r="G35" s="7" t="n">
        <v>2.5</v>
      </c>
      <c r="H35" s="7" t="n">
        <v>0.65</v>
      </c>
      <c r="I35" s="7" t="n">
        <v>5</v>
      </c>
      <c r="J35" s="9">
        <f>ROUND(F35*G35*H35/I35,1)</f>
        <v/>
      </c>
      <c r="K35" s="7" t="inlineStr">
        <is>
          <t>Cas avion 2h sans réseau OK.</t>
        </is>
      </c>
      <c r="L35" s="7" t="inlineStr">
        <is>
          <t>P1</t>
        </is>
      </c>
      <c r="M35" s="12" t="n"/>
    </row>
    <row r="36" ht="38" customHeight="1">
      <c r="A36" s="7" t="inlineStr">
        <is>
          <t>F35</t>
        </is>
      </c>
      <c r="B36" s="7" t="inlineStr">
        <is>
          <t>App mobile compagnon</t>
        </is>
      </c>
      <c r="C36" s="15" t="inlineStr">
        <is>
          <t>V3</t>
        </is>
      </c>
      <c r="D36" s="7" t="inlineStr">
        <is>
          <t>Tech</t>
        </is>
      </c>
      <c r="E36" s="7" t="inlineStr">
        <is>
          <t>iOS+Android PWA, lecture rapide, capture vocale.</t>
        </is>
      </c>
      <c r="F36" s="7" t="n">
        <v>10</v>
      </c>
      <c r="G36" s="7" t="n">
        <v>2.5</v>
      </c>
      <c r="H36" s="7" t="n">
        <v>0.7</v>
      </c>
      <c r="I36" s="7" t="n">
        <v>6</v>
      </c>
      <c r="J36" s="9">
        <f>ROUND(F36*G36*H36/I36,1)</f>
        <v/>
      </c>
      <c r="K36" s="7" t="inlineStr">
        <is>
          <t>Actions clés sous 30s mobile.</t>
        </is>
      </c>
      <c r="L36" s="7" t="inlineStr">
        <is>
          <t>P1</t>
        </is>
      </c>
      <c r="M36" s="12" t="n"/>
    </row>
    <row r="37" ht="38" customHeight="1">
      <c r="A37" s="7" t="inlineStr">
        <is>
          <t>F36</t>
        </is>
      </c>
      <c r="B37" s="7" t="inlineStr">
        <is>
          <t>Multi-CEO (écosystème ETIC)</t>
        </is>
      </c>
      <c r="C37" s="15" t="inlineStr">
        <is>
          <t>V3</t>
        </is>
      </c>
      <c r="D37" s="7" t="inlineStr">
        <is>
          <t>Tech</t>
        </is>
      </c>
      <c r="E37" s="7" t="inlineStr">
        <is>
          <t>Ouverture 2-3 CEO, isolation stricte.</t>
        </is>
      </c>
      <c r="F37" s="7" t="n">
        <v>3</v>
      </c>
      <c r="G37" s="7" t="n">
        <v>3</v>
      </c>
      <c r="H37" s="7" t="n">
        <v>0.7</v>
      </c>
      <c r="I37" s="7" t="n">
        <v>3</v>
      </c>
      <c r="J37" s="9">
        <f>ROUND(F37*G37*H37/I37,1)</f>
        <v/>
      </c>
      <c r="K37" s="7" t="inlineStr">
        <is>
          <t>Onboarding &lt;1j, isolation 100%.</t>
        </is>
      </c>
      <c r="L37" s="7" t="inlineStr">
        <is>
          <t>P1</t>
        </is>
      </c>
      <c r="M37" s="12" t="n"/>
    </row>
    <row r="38" ht="38" customHeight="1">
      <c r="A38" s="7" t="inlineStr">
        <is>
          <t>F37</t>
        </is>
      </c>
      <c r="B38" s="7" t="inlineStr">
        <is>
          <t>Bouton visualiser (Napkin pattern)</t>
        </is>
      </c>
      <c r="C38" s="13" t="inlineStr">
        <is>
          <t>V2</t>
        </is>
      </c>
      <c r="D38" s="7" t="inlineStr">
        <is>
          <t>Visuel</t>
        </is>
      </c>
      <c r="E38" s="7" t="inlineStr">
        <is>
          <t>Sélection texte → 4-6 variantes de schémas, insérables inline.</t>
        </is>
      </c>
      <c r="F38" s="7" t="n">
        <v>10</v>
      </c>
      <c r="G38" s="7" t="n">
        <v>2.5</v>
      </c>
      <c r="H38" s="7" t="n">
        <v>0.7</v>
      </c>
      <c r="I38" s="7" t="n">
        <v>3</v>
      </c>
      <c r="J38" s="9">
        <f>ROUND(F38*G38*H38/I38,1)</f>
        <v/>
      </c>
      <c r="K38" s="7" t="inlineStr">
        <is>
          <t>Génération &lt;5s, 6 gabarits.</t>
        </is>
      </c>
      <c r="L38" s="7" t="inlineStr">
        <is>
          <t>P1</t>
        </is>
      </c>
      <c r="M38" s="12" t="n"/>
    </row>
    <row r="39" ht="38" customHeight="1">
      <c r="A39" s="7" t="inlineStr">
        <is>
          <t>F38</t>
        </is>
      </c>
      <c r="B39" s="7" t="inlineStr">
        <is>
          <t>Mode surcharge détectée</t>
        </is>
      </c>
      <c r="C39" s="13" t="inlineStr">
        <is>
          <t>V2</t>
        </is>
      </c>
      <c r="D39" s="7" t="inlineStr">
        <is>
          <t>Coaching</t>
        </is>
      </c>
      <c r="E39" s="7" t="inlineStr">
        <is>
          <t>UI simplifiée auto quand signaux convergents.</t>
        </is>
      </c>
      <c r="F39" s="7" t="n">
        <v>10</v>
      </c>
      <c r="G39" s="7" t="n">
        <v>2.5</v>
      </c>
      <c r="H39" s="7" t="n">
        <v>0.65</v>
      </c>
      <c r="I39" s="7" t="n">
        <v>2</v>
      </c>
      <c r="J39" s="9">
        <f>ROUND(F39*G39*H39/I39,1)</f>
        <v/>
      </c>
      <c r="K39" s="7" t="inlineStr">
        <is>
          <t>Activation correcte 90% des cas.</t>
        </is>
      </c>
      <c r="L39" s="7" t="inlineStr">
        <is>
          <t>P2</t>
        </is>
      </c>
      <c r="M39" s="14" t="n"/>
    </row>
    <row r="40" ht="38" customHeight="1">
      <c r="A40" s="7" t="inlineStr">
        <is>
          <t>F39</t>
        </is>
      </c>
      <c r="B40" s="7" t="inlineStr">
        <is>
          <t>Streak du repos</t>
        </is>
      </c>
      <c r="C40" s="11" t="inlineStr">
        <is>
          <t>V1</t>
        </is>
      </c>
      <c r="D40" s="7" t="inlineStr">
        <is>
          <t>Coaching</t>
        </is>
      </c>
      <c r="E40" s="7" t="inlineStr">
        <is>
          <t>Badge jours shutdown, weekends off, nuits 7h+.</t>
        </is>
      </c>
      <c r="F40" s="7" t="n">
        <v>10</v>
      </c>
      <c r="G40" s="7" t="n">
        <v>1.5</v>
      </c>
      <c r="H40" s="7" t="n">
        <v>0.85</v>
      </c>
      <c r="I40" s="7" t="n">
        <v>1</v>
      </c>
      <c r="J40" s="9">
        <f>ROUND(F40*G40*H40/I40,1)</f>
        <v/>
      </c>
      <c r="K40" s="7" t="inlineStr">
        <is>
          <t>Affichage discret, pas de pression.</t>
        </is>
      </c>
      <c r="L40" s="7" t="inlineStr">
        <is>
          <t>P2</t>
        </is>
      </c>
      <c r="M40" s="14" t="n"/>
    </row>
    <row r="41" ht="38" customHeight="1">
      <c r="A41" s="7" t="inlineStr">
        <is>
          <t>F40</t>
        </is>
      </c>
      <c r="B41" s="7" t="inlineStr">
        <is>
          <t>NON bienveillant sur saturation</t>
        </is>
      </c>
      <c r="C41" s="11" t="inlineStr">
        <is>
          <t>V1</t>
        </is>
      </c>
      <c r="D41" s="7" t="inlineStr">
        <is>
          <t>Coaching</t>
        </is>
      </c>
      <c r="E41" s="7" t="inlineStr">
        <is>
          <t>Alerte quand ajout tâche dépasse capacité, 3 options.</t>
        </is>
      </c>
      <c r="F41" s="7" t="n">
        <v>10</v>
      </c>
      <c r="G41" s="7" t="n">
        <v>2.5</v>
      </c>
      <c r="H41" s="7" t="n">
        <v>0.85</v>
      </c>
      <c r="I41" s="7" t="n">
        <v>2</v>
      </c>
      <c r="J41" s="9">
        <f>ROUND(F41*G41*H41/I41,1)</f>
        <v/>
      </c>
      <c r="K41" s="7" t="inlineStr">
        <is>
          <t>Affiché sur 100% des saturations.</t>
        </is>
      </c>
      <c r="L41" s="7" t="inlineStr">
        <is>
          <t>P0</t>
        </is>
      </c>
      <c r="M41" s="10" t="n"/>
    </row>
    <row r="42" ht="38" customHeight="1">
      <c r="A42" s="7" t="inlineStr">
        <is>
          <t>F41</t>
        </is>
      </c>
      <c r="B42" s="7" t="inlineStr">
        <is>
          <t>Recadrage cognitif (ACT light)</t>
        </is>
      </c>
      <c r="C42" s="13" t="inlineStr">
        <is>
          <t>V2</t>
        </is>
      </c>
      <c r="D42" s="7" t="inlineStr">
        <is>
          <t>Coaching</t>
        </is>
      </c>
      <c r="E42" s="7" t="inlineStr">
        <is>
          <t>Drawer tâche retard : reframe en 3 options (inutile/difficile/moins imp).</t>
        </is>
      </c>
      <c r="F42" s="7" t="n">
        <v>10</v>
      </c>
      <c r="G42" s="7" t="n">
        <v>2</v>
      </c>
      <c r="H42" s="7" t="n">
        <v>0.7</v>
      </c>
      <c r="I42" s="7" t="n">
        <v>2</v>
      </c>
      <c r="J42" s="9">
        <f>ROUND(F42*G42*H42/I42,1)</f>
        <v/>
      </c>
      <c r="K42" s="7" t="inlineStr">
        <is>
          <t>Testé 10 tâches, 60% résolution.</t>
        </is>
      </c>
      <c r="L42" s="7" t="inlineStr">
        <is>
          <t>P2</t>
        </is>
      </c>
      <c r="M42" s="14" t="n"/>
    </row>
    <row r="43" ht="38" customHeight="1">
      <c r="A43" s="7" t="inlineStr">
        <is>
          <t>F42</t>
        </is>
      </c>
      <c r="B43" s="7" t="inlineStr">
        <is>
          <t>Kill switch copilote</t>
        </is>
      </c>
      <c r="C43" s="8" t="inlineStr">
        <is>
          <t>MVP</t>
        </is>
      </c>
      <c r="D43" s="7" t="inlineStr">
        <is>
          <t>Transparence</t>
        </is>
      </c>
      <c r="E43" s="7" t="inlineStr">
        <is>
          <t>Bouton 'suspendre 1h/1j/indéfini' dans settings.</t>
        </is>
      </c>
      <c r="F43" s="7" t="n">
        <v>10</v>
      </c>
      <c r="G43" s="7" t="n">
        <v>3</v>
      </c>
      <c r="H43" s="7" t="n">
        <v>0.95</v>
      </c>
      <c r="I43" s="7" t="n">
        <v>1</v>
      </c>
      <c r="J43" s="9">
        <f>ROUND(F43*G43*H43/I43,1)</f>
        <v/>
      </c>
      <c r="K43" s="7" t="inlineStr">
        <is>
          <t>Effet immédiat, aucune prop pendant.</t>
        </is>
      </c>
      <c r="L43" s="7" t="inlineStr">
        <is>
          <t>P0</t>
        </is>
      </c>
      <c r="M43" s="10" t="n"/>
    </row>
  </sheetData>
  <autoFilter ref="A1:M43"/>
  <conditionalFormatting sqref="J2:J43">
    <cfRule type="colorScale" priority="1">
      <colorScale>
        <cfvo type="min"/>
        <cfvo type="percentile" val="50"/>
        <cfvo type="max"/>
        <color rgb="00F5F3EF"/>
        <color rgb="00D8ECDF"/>
        <color rgb="002B73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60" customWidth="1" min="4" max="4"/>
    <col width="15" customWidth="1" min="5" max="5"/>
    <col width="14" customWidth="1" min="6" max="6"/>
    <col width="50" customWidth="1" min="7" max="7"/>
    <col width="30" customWidth="1" min="8" max="8"/>
  </cols>
  <sheetData>
    <row r="1">
      <c r="A1" s="16" t="inlineStr">
        <is>
          <t>Roadmap trimestrielle — 18 mois</t>
        </is>
      </c>
    </row>
    <row r="3">
      <c r="A3" s="17" t="inlineStr">
        <is>
          <t>Phase</t>
        </is>
      </c>
      <c r="B3" s="17" t="inlineStr">
        <is>
          <t>Trimestre</t>
        </is>
      </c>
      <c r="C3" s="17" t="inlineStr">
        <is>
          <t>Durée (sem)</t>
        </is>
      </c>
      <c r="D3" s="17" t="inlineStr">
        <is>
          <t>Périmètre principal</t>
        </is>
      </c>
      <c r="E3" s="17" t="inlineStr">
        <is>
          <t>Budget (k€)</t>
        </is>
      </c>
      <c r="F3" s="17" t="inlineStr">
        <is>
          <t>Équipe (ETP)</t>
        </is>
      </c>
      <c r="G3" s="17" t="inlineStr">
        <is>
          <t>Critères go/no-go</t>
        </is>
      </c>
      <c r="H3" s="17" t="inlineStr">
        <is>
          <t>Livrable</t>
        </is>
      </c>
    </row>
    <row r="4" ht="60" customHeight="1">
      <c r="A4" s="8" t="inlineStr">
        <is>
          <t>MVP</t>
        </is>
      </c>
      <c r="B4" s="7" t="inlineStr">
        <is>
          <t>T2 2026</t>
        </is>
      </c>
      <c r="C4" s="7" t="n">
        <v>10</v>
      </c>
      <c r="D4" s="7" t="inlineStr">
        <is>
          <t>Cockpit + sociétés + agenda + tâches + Outlook + copilote réactif + délégation assistée</t>
        </is>
      </c>
      <c r="E4" s="7" t="n">
        <v>132</v>
      </c>
      <c r="F4" s="7" t="n">
        <v>3</v>
      </c>
      <c r="G4" s="7" t="inlineStr">
        <is>
          <t>Feycoil actif 5j/7 · 2 délégations/sem · rituels ≥60% · zéro incident · NPS ≥7</t>
        </is>
      </c>
      <c r="H4" s="7" t="inlineStr">
        <is>
          <t>Web app utilisable Feycoil</t>
        </is>
      </c>
    </row>
    <row r="5" ht="60" customHeight="1">
      <c r="A5" s="11" t="inlineStr">
        <is>
          <t>V1</t>
        </is>
      </c>
      <c r="B5" s="7" t="inlineStr">
        <is>
          <t>T3-T4 2026</t>
        </is>
      </c>
      <c r="C5" s="7" t="n">
        <v>16</v>
      </c>
      <c r="D5" s="7" t="inlineStr">
        <is>
          <t>Copilote proactif + mémoire LT + rituels + SharePoint + viz riches + SolidJS</t>
        </is>
      </c>
      <c r="E5" s="7" t="n">
        <v>290</v>
      </c>
      <c r="F5" s="7" t="n">
        <v>4.3</v>
      </c>
      <c r="G5" s="7" t="inlineStr">
        <is>
          <t>Taux acceptation ≥55% · 5h/sem gagnées · délégation ≥40% · rituels ≥80% · validation équipe</t>
        </is>
      </c>
      <c r="H5" s="7" t="inlineStr">
        <is>
          <t>Copilote proactif prod</t>
        </is>
      </c>
    </row>
    <row r="6" ht="60" customHeight="1">
      <c r="A6" s="13" t="inlineStr">
        <is>
          <t>V2</t>
        </is>
      </c>
      <c r="B6" s="7" t="inlineStr">
        <is>
          <t>T1-T2 2027</t>
        </is>
      </c>
      <c r="C6" s="7" t="n">
        <v>20</v>
      </c>
      <c r="D6" s="7" t="inlineStr">
        <is>
          <t>Multi-tenant + délégation e2e + Teams + canvas IA + graphe + SOC 2</t>
        </is>
      </c>
      <c r="E6" s="7" t="n">
        <v>693</v>
      </c>
      <c r="F6" s="7" t="n">
        <v>8</v>
      </c>
      <c r="G6" s="7" t="inlineStr">
        <is>
          <t>5 users DAU · 8h/sem gagnées · Teams remplacé ≥30% · SOC 2 obtenu · go commercialisation</t>
        </is>
      </c>
      <c r="H6" s="7" t="inlineStr">
        <is>
          <t>App équipe certifiée</t>
        </is>
      </c>
    </row>
    <row r="7" ht="60" customHeight="1">
      <c r="A7" s="15" t="inlineStr">
        <is>
          <t>V3</t>
        </is>
      </c>
      <c r="B7" s="7" t="inlineStr">
        <is>
          <t>T3-T4 2027</t>
        </is>
      </c>
      <c r="C7" s="7" t="n">
        <v>16</v>
      </c>
      <c r="D7" s="7" t="inlineStr">
        <is>
          <t>Coach stratégique + burnout actif + offline + mobile + multi-CEO</t>
        </is>
      </c>
      <c r="E7" s="7" t="n">
        <v>598</v>
      </c>
      <c r="F7" s="7" t="n">
        <v>9.199999999999999</v>
      </c>
      <c r="G7" s="7" t="inlineStr">
        <is>
          <t>NPS ≥75 · shutdown 80% · weekends off 70% · multi-CEO stable</t>
        </is>
      </c>
      <c r="H7" s="7" t="inlineStr">
        <is>
          <t>Produit complet</t>
        </is>
      </c>
    </row>
    <row r="8" ht="60" customHeight="1">
      <c r="A8" s="18" t="inlineStr">
        <is>
          <t>TOTAL</t>
        </is>
      </c>
      <c r="B8" s="9" t="inlineStr">
        <is>
          <t>18 mois</t>
        </is>
      </c>
      <c r="C8" s="9" t="n">
        <v>62</v>
      </c>
      <c r="D8" s="9" t="inlineStr">
        <is>
          <t>Vision complète</t>
        </is>
      </c>
      <c r="E8" s="9">
        <f>SUM(E4:E7)</f>
        <v/>
      </c>
      <c r="F8" s="9" t="inlineStr">
        <is>
          <t>-</t>
        </is>
      </c>
      <c r="G8" s="9" t="inlineStr">
        <is>
          <t>-</t>
        </is>
      </c>
      <c r="H8" s="9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10" customWidth="1" min="3" max="3"/>
    <col width="10" customWidth="1" min="4" max="4"/>
    <col width="10" customWidth="1" min="5" max="5"/>
    <col width="10" customWidth="1" min="6" max="6"/>
    <col width="40" customWidth="1" min="7" max="7"/>
  </cols>
  <sheetData>
    <row r="1">
      <c r="A1" s="16" t="inlineStr">
        <is>
          <t>KPIs — Indicateurs de succès par horizon</t>
        </is>
      </c>
    </row>
    <row r="3">
      <c r="A3" s="17" t="inlineStr">
        <is>
          <t>Catégorie</t>
        </is>
      </c>
      <c r="B3" s="17" t="inlineStr">
        <is>
          <t>Indicateur</t>
        </is>
      </c>
      <c r="C3" s="17" t="inlineStr">
        <is>
          <t>S+30</t>
        </is>
      </c>
      <c r="D3" s="17" t="inlineStr">
        <is>
          <t>S+90</t>
        </is>
      </c>
      <c r="E3" s="17" t="inlineStr">
        <is>
          <t>S+180</t>
        </is>
      </c>
      <c r="F3" s="17" t="inlineStr">
        <is>
          <t>S+365</t>
        </is>
      </c>
      <c r="G3" s="17" t="inlineStr">
        <is>
          <t>Méthode de mesure</t>
        </is>
      </c>
    </row>
    <row r="4">
      <c r="A4" s="13" t="inlineStr">
        <is>
          <t>CEO</t>
        </is>
      </c>
      <c r="B4" s="7" t="inlineStr">
        <is>
          <t>Temps CEO gagné / semaine (h)</t>
        </is>
      </c>
      <c r="C4" s="7" t="n">
        <v>2</v>
      </c>
      <c r="D4" s="7" t="n">
        <v>5</v>
      </c>
      <c r="E4" s="7" t="n">
        <v>8</v>
      </c>
      <c r="F4" s="7" t="n">
        <v>10</v>
      </c>
      <c r="G4" s="7" t="inlineStr">
        <is>
          <t>Sondage hebdo + tracking tâches déléguées</t>
        </is>
      </c>
    </row>
    <row r="5">
      <c r="A5" s="13" t="inlineStr">
        <is>
          <t>CEO</t>
        </is>
      </c>
      <c r="B5" s="7" t="inlineStr">
        <is>
          <t>Ratio délégation / exécution (%)</t>
        </is>
      </c>
      <c r="C5" s="7" t="n">
        <v>20</v>
      </c>
      <c r="D5" s="7" t="n">
        <v>40</v>
      </c>
      <c r="E5" s="7" t="n">
        <v>55</v>
      </c>
      <c r="F5" s="7" t="n">
        <v>65</v>
      </c>
      <c r="G5" s="7" t="inlineStr">
        <is>
          <t>Comptage tâches assignées vs self-exécutées</t>
        </is>
      </c>
    </row>
    <row r="6">
      <c r="A6" s="13" t="inlineStr">
        <is>
          <t>CEO</t>
        </is>
      </c>
      <c r="B6" s="7" t="inlineStr">
        <is>
          <t>Heure médiane shutdown</t>
        </is>
      </c>
      <c r="C6" s="7" t="inlineStr">
        <is>
          <t>20h30</t>
        </is>
      </c>
      <c r="D6" s="7" t="inlineStr">
        <is>
          <t>20h00</t>
        </is>
      </c>
      <c r="E6" s="7" t="inlineStr">
        <is>
          <t>19h30</t>
        </is>
      </c>
      <c r="F6" s="7" t="inlineStr">
        <is>
          <t>19h15</t>
        </is>
      </c>
      <c r="G6" s="7" t="inlineStr">
        <is>
          <t>Timestamp shutdown rituel</t>
        </is>
      </c>
    </row>
    <row r="7">
      <c r="A7" s="13" t="inlineStr">
        <is>
          <t>CEO</t>
        </is>
      </c>
      <c r="B7" s="7" t="inlineStr">
        <is>
          <t>Weekends totalement off (%)</t>
        </is>
      </c>
      <c r="C7" s="7" t="n">
        <v>40</v>
      </c>
      <c r="D7" s="7" t="n">
        <v>60</v>
      </c>
      <c r="E7" s="7" t="n">
        <v>70</v>
      </c>
      <c r="F7" s="7" t="n">
        <v>80</v>
      </c>
      <c r="G7" s="7" t="inlineStr">
        <is>
          <t>Absence ouverture app sam+dim</t>
        </is>
      </c>
    </row>
    <row r="8">
      <c r="A8" s="13" t="inlineStr">
        <is>
          <t>CEO</t>
        </is>
      </c>
      <c r="B8" s="7" t="inlineStr">
        <is>
          <t>Nuits &gt;7h déclarées (%)</t>
        </is>
      </c>
      <c r="C8" s="7" t="n">
        <v>45</v>
      </c>
      <c r="D8" s="7" t="n">
        <v>55</v>
      </c>
      <c r="E8" s="7" t="n">
        <v>60</v>
      </c>
      <c r="F8" s="7" t="n">
        <v>65</v>
      </c>
      <c r="G8" s="7" t="inlineStr">
        <is>
          <t>Déclaratif check-in matin</t>
        </is>
      </c>
    </row>
    <row r="9">
      <c r="A9" s="11" t="inlineStr">
        <is>
          <t>IA</t>
        </is>
      </c>
      <c r="B9" s="7" t="inlineStr">
        <is>
          <t>Taux acceptation propositions (%)</t>
        </is>
      </c>
      <c r="C9" s="7" t="n">
        <v>40</v>
      </c>
      <c r="D9" s="7" t="n">
        <v>55</v>
      </c>
      <c r="E9" s="7" t="n">
        <v>60</v>
      </c>
      <c r="F9" s="7" t="n">
        <v>65</v>
      </c>
      <c r="G9" s="7" t="inlineStr">
        <is>
          <t>Tracking interactions UI propositions</t>
        </is>
      </c>
    </row>
    <row r="10">
      <c r="A10" s="11" t="inlineStr">
        <is>
          <t>IA</t>
        </is>
      </c>
      <c r="B10" s="7" t="inlineStr">
        <is>
          <t>Propositions/jour actives</t>
        </is>
      </c>
      <c r="C10" s="7" t="n">
        <v>8</v>
      </c>
      <c r="D10" s="7" t="n">
        <v>12</v>
      </c>
      <c r="E10" s="7" t="n">
        <v>14</v>
      </c>
      <c r="F10" s="7" t="n">
        <v>15</v>
      </c>
      <c r="G10" s="7" t="inlineStr">
        <is>
          <t>Comptage daily</t>
        </is>
      </c>
    </row>
    <row r="11">
      <c r="A11" s="11" t="inlineStr">
        <is>
          <t>IA</t>
        </is>
      </c>
      <c r="B11" s="7" t="inlineStr">
        <is>
          <t>Coût LLM/proposition acceptée (€)</t>
        </is>
      </c>
      <c r="C11" s="7" t="n">
        <v>0.8</v>
      </c>
      <c r="D11" s="7" t="n">
        <v>0.6</v>
      </c>
      <c r="E11" s="7" t="n">
        <v>0.45</v>
      </c>
      <c r="F11" s="7" t="n">
        <v>0.35</v>
      </c>
      <c r="G11" s="7" t="inlineStr">
        <is>
          <t>Langfuse cost tracking</t>
        </is>
      </c>
    </row>
    <row r="12">
      <c r="A12" s="8" t="inlineStr">
        <is>
          <t>Produit</t>
        </is>
      </c>
      <c r="B12" s="7" t="inlineStr">
        <is>
          <t>DAU Feycoil (j/30)</t>
        </is>
      </c>
      <c r="C12" s="7" t="n">
        <v>25</v>
      </c>
      <c r="D12" s="7" t="n">
        <v>28</v>
      </c>
      <c r="E12" s="7" t="n">
        <v>29</v>
      </c>
      <c r="F12" s="7" t="n">
        <v>30</v>
      </c>
      <c r="G12" s="7" t="inlineStr">
        <is>
          <t>Sessions authentifiées</t>
        </is>
      </c>
    </row>
    <row r="13">
      <c r="A13" s="8" t="inlineStr">
        <is>
          <t>Produit</t>
        </is>
      </c>
      <c r="B13" s="7" t="inlineStr">
        <is>
          <t>Temps ouverture écran → action (s)</t>
        </is>
      </c>
      <c r="C13" s="7" t="n">
        <v>45</v>
      </c>
      <c r="D13" s="7" t="n">
        <v>30</v>
      </c>
      <c r="E13" s="7" t="n">
        <v>25</v>
      </c>
      <c r="F13" s="7" t="n">
        <v>20</v>
      </c>
      <c r="G13" s="7" t="inlineStr">
        <is>
          <t>Instrumentation front</t>
        </is>
      </c>
    </row>
    <row r="14">
      <c r="A14" s="8" t="inlineStr">
        <is>
          <t>Produit</t>
        </is>
      </c>
      <c r="B14" s="7" t="inlineStr">
        <is>
          <t>NPS mono-utilisateur</t>
        </is>
      </c>
      <c r="C14" s="7" t="n">
        <v>50</v>
      </c>
      <c r="D14" s="7" t="n">
        <v>70</v>
      </c>
      <c r="E14" s="7" t="n">
        <v>75</v>
      </c>
      <c r="F14" s="7" t="n">
        <v>80</v>
      </c>
      <c r="G14" s="7" t="inlineStr">
        <is>
          <t>Sondage trimestriel</t>
        </is>
      </c>
    </row>
    <row r="15">
      <c r="A15" s="8" t="inlineStr">
        <is>
          <t>Produit</t>
        </is>
      </c>
      <c r="B15" s="7" t="inlineStr">
        <is>
          <t>Uptime (%)</t>
        </is>
      </c>
      <c r="C15" s="7" t="inlineStr">
        <is>
          <t>99.5</t>
        </is>
      </c>
      <c r="D15" s="7" t="inlineStr">
        <is>
          <t>99.8</t>
        </is>
      </c>
      <c r="E15" s="7" t="inlineStr">
        <is>
          <t>99.9</t>
        </is>
      </c>
      <c r="F15" s="7" t="inlineStr">
        <is>
          <t>99.95</t>
        </is>
      </c>
      <c r="G15" s="7" t="inlineStr">
        <is>
          <t>Better Stack monitoring</t>
        </is>
      </c>
    </row>
    <row r="16">
      <c r="A16" s="15" t="inlineStr">
        <is>
          <t>Rituel</t>
        </is>
      </c>
      <c r="B16" s="7" t="inlineStr">
        <is>
          <t>Matin effectué (%)</t>
        </is>
      </c>
      <c r="C16" s="7" t="n">
        <v>70</v>
      </c>
      <c r="D16" s="7" t="n">
        <v>80</v>
      </c>
      <c r="E16" s="7" t="n">
        <v>85</v>
      </c>
      <c r="F16" s="7" t="n">
        <v>90</v>
      </c>
      <c r="G16" s="7" t="inlineStr">
        <is>
          <t>Tracking écran matin</t>
        </is>
      </c>
    </row>
    <row r="17">
      <c r="A17" s="15" t="inlineStr">
        <is>
          <t>Rituel</t>
        </is>
      </c>
      <c r="B17" s="7" t="inlineStr">
        <is>
          <t>Shutdown effectué (%)</t>
        </is>
      </c>
      <c r="C17" s="7" t="n">
        <v>60</v>
      </c>
      <c r="D17" s="7" t="n">
        <v>70</v>
      </c>
      <c r="E17" s="7" t="n">
        <v>80</v>
      </c>
      <c r="F17" s="7" t="n">
        <v>85</v>
      </c>
      <c r="G17" s="7" t="inlineStr">
        <is>
          <t>Tracking écran soir</t>
        </is>
      </c>
    </row>
    <row r="18">
      <c r="A18" s="15" t="inlineStr">
        <is>
          <t>Rituel</t>
        </is>
      </c>
      <c r="B18" s="7" t="inlineStr">
        <is>
          <t>Revue hebdo effectuée (%)</t>
        </is>
      </c>
      <c r="C18" s="7" t="n">
        <v>80</v>
      </c>
      <c r="D18" s="7" t="n">
        <v>85</v>
      </c>
      <c r="E18" s="7" t="n">
        <v>90</v>
      </c>
      <c r="F18" s="7" t="n">
        <v>95</v>
      </c>
      <c r="G18" s="7" t="inlineStr">
        <is>
          <t>Tracking dimanche</t>
        </is>
      </c>
    </row>
    <row r="19">
      <c r="A19" s="19" t="inlineStr">
        <is>
          <t>Coaching</t>
        </is>
      </c>
      <c r="B19" s="7" t="inlineStr">
        <is>
          <t>Score humeur moyen /5</t>
        </is>
      </c>
      <c r="C19" s="7" t="inlineStr">
        <is>
          <t>3.2</t>
        </is>
      </c>
      <c r="D19" s="7" t="inlineStr">
        <is>
          <t>3.5</t>
        </is>
      </c>
      <c r="E19" s="7" t="inlineStr">
        <is>
          <t>3.7</t>
        </is>
      </c>
      <c r="F19" s="7" t="inlineStr">
        <is>
          <t>4.0</t>
        </is>
      </c>
      <c r="G19" s="7" t="inlineStr">
        <is>
          <t>Déclaratif matin</t>
        </is>
      </c>
    </row>
    <row r="20">
      <c r="A20" s="19" t="inlineStr">
        <is>
          <t>Coaching</t>
        </is>
      </c>
      <c r="B20" s="7" t="inlineStr">
        <is>
          <t>Mails envoyés après 22h (nb/sem)</t>
        </is>
      </c>
      <c r="C20" s="7" t="n">
        <v>5</v>
      </c>
      <c r="D20" s="7" t="n">
        <v>3</v>
      </c>
      <c r="E20" s="7" t="n">
        <v>2</v>
      </c>
      <c r="F20" s="7" t="n">
        <v>1</v>
      </c>
      <c r="G20" s="7" t="inlineStr">
        <is>
          <t>Log Outlook</t>
        </is>
      </c>
    </row>
    <row r="21">
      <c r="A21" s="20" t="inlineStr">
        <is>
          <t>Équipe (V2+)</t>
        </is>
      </c>
      <c r="B21" s="7" t="inlineStr">
        <is>
          <t>Utilisateurs actifs</t>
        </is>
      </c>
      <c r="C21" s="7" t="n">
        <v>1</v>
      </c>
      <c r="D21" s="7" t="n">
        <v>3</v>
      </c>
      <c r="E21" s="7" t="n">
        <v>5</v>
      </c>
      <c r="F21" s="7" t="n">
        <v>8</v>
      </c>
      <c r="G21" s="7" t="inlineStr">
        <is>
          <t>Sessions authentifiées</t>
        </is>
      </c>
    </row>
    <row r="22">
      <c r="A22" s="20" t="inlineStr">
        <is>
          <t>Équipe (V2+)</t>
        </is>
      </c>
      <c r="B22" s="7" t="inlineStr">
        <is>
          <t>Tâches déléguées end-to-end</t>
        </is>
      </c>
      <c r="C22" s="7" t="n">
        <v>5</v>
      </c>
      <c r="D22" s="7" t="n">
        <v>15</v>
      </c>
      <c r="E22" s="7" t="n">
        <v>25</v>
      </c>
      <c r="F22" s="7" t="n">
        <v>40</v>
      </c>
      <c r="G22" s="7" t="inlineStr">
        <is>
          <t>Tracking délégations</t>
        </is>
      </c>
    </row>
  </sheetData>
  <autoFilter ref="A3:G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6" t="inlineStr">
        <is>
          <t>Budget estimatif par phase (18 mois)</t>
        </is>
      </c>
    </row>
    <row r="3">
      <c r="A3" s="21" t="inlineStr">
        <is>
          <t>Hypothèses</t>
        </is>
      </c>
    </row>
    <row r="4">
      <c r="A4" s="5" t="inlineStr">
        <is>
          <t>TJM consultant senior</t>
        </is>
      </c>
      <c r="B4" s="22" t="n">
        <v>900</v>
      </c>
    </row>
    <row r="5">
      <c r="A5" s="5" t="inlineStr">
        <is>
          <t>Jours ouvrés / semaine</t>
        </is>
      </c>
      <c r="B5" s="23" t="n">
        <v>4.5</v>
      </c>
    </row>
    <row r="6">
      <c r="A6" s="5" t="inlineStr">
        <is>
          <t>Infra mensuelle V1 (estimation)</t>
        </is>
      </c>
      <c r="B6" s="22" t="n">
        <v>2000</v>
      </c>
    </row>
    <row r="8">
      <c r="A8" s="24" t="inlineStr">
        <is>
          <t>Phase</t>
        </is>
      </c>
      <c r="B8" s="24" t="inlineStr">
        <is>
          <t>Durée (sem)</t>
        </is>
      </c>
      <c r="C8" s="24" t="inlineStr">
        <is>
          <t>ETP</t>
        </is>
      </c>
      <c r="D8" s="24" t="inlineStr">
        <is>
          <t>Dev (k€)</t>
        </is>
      </c>
      <c r="E8" s="24" t="inlineStr">
        <is>
          <t>Infra (k€)</t>
        </is>
      </c>
      <c r="F8" s="24" t="inlineStr">
        <is>
          <t>Autres (k€)</t>
        </is>
      </c>
      <c r="G8" s="24" t="inlineStr">
        <is>
          <t>Total (k€)</t>
        </is>
      </c>
    </row>
    <row r="9">
      <c r="A9" s="25" t="inlineStr">
        <is>
          <t>MVP</t>
        </is>
      </c>
      <c r="B9" t="n">
        <v>10</v>
      </c>
      <c r="C9" t="n">
        <v>3</v>
      </c>
      <c r="D9" s="26">
        <f>ROUND(B9*C9*$B$4*$B$5/1000,0)</f>
        <v/>
      </c>
      <c r="E9" s="26" t="n">
        <v>2</v>
      </c>
      <c r="F9" s="26" t="n">
        <v>10</v>
      </c>
      <c r="G9" s="26">
        <f>D9+E9+F9</f>
        <v/>
      </c>
    </row>
    <row r="10">
      <c r="A10" s="27" t="inlineStr">
        <is>
          <t>V1</t>
        </is>
      </c>
      <c r="B10" t="n">
        <v>16</v>
      </c>
      <c r="C10" t="n">
        <v>4.3</v>
      </c>
      <c r="D10" s="26">
        <f>ROUND(B10*C10*$B$4*$B$5/1000,0)</f>
        <v/>
      </c>
      <c r="E10" s="26" t="n">
        <v>8</v>
      </c>
      <c r="F10" s="26" t="n">
        <v>0</v>
      </c>
      <c r="G10" s="26">
        <f>D10+E10+F10</f>
        <v/>
      </c>
    </row>
    <row r="11">
      <c r="A11" s="28" t="inlineStr">
        <is>
          <t>V2</t>
        </is>
      </c>
      <c r="B11" t="n">
        <v>20</v>
      </c>
      <c r="C11" t="n">
        <v>8</v>
      </c>
      <c r="D11" s="26">
        <f>ROUND(B11*C11*$B$4*$B$5/1000,0)</f>
        <v/>
      </c>
      <c r="E11" s="26" t="n">
        <v>20</v>
      </c>
      <c r="F11" s="26" t="n">
        <v>25</v>
      </c>
      <c r="G11" s="26">
        <f>D11+E11+F11</f>
        <v/>
      </c>
    </row>
    <row r="12">
      <c r="A12" s="29" t="inlineStr">
        <is>
          <t>V3</t>
        </is>
      </c>
      <c r="B12" t="n">
        <v>16</v>
      </c>
      <c r="C12" t="n">
        <v>9.199999999999999</v>
      </c>
      <c r="D12" s="26">
        <f>ROUND(B12*C12*$B$4*$B$5/1000,0)</f>
        <v/>
      </c>
      <c r="E12" s="26" t="n">
        <v>24</v>
      </c>
      <c r="F12" s="26" t="n">
        <v>15</v>
      </c>
      <c r="G12" s="26">
        <f>D12+E12+F12</f>
        <v/>
      </c>
    </row>
    <row r="13">
      <c r="A13" s="30" t="inlineStr">
        <is>
          <t>TOTAL</t>
        </is>
      </c>
      <c r="B13" s="31">
        <f>SUM(B9:B12)</f>
        <v/>
      </c>
      <c r="D13" s="32">
        <f>SUM(D9:D12)</f>
        <v/>
      </c>
      <c r="E13" s="32">
        <f>SUM(E9:E12)</f>
        <v/>
      </c>
      <c r="F13" s="32">
        <f>SUM(F9:F12)</f>
        <v/>
      </c>
      <c r="G13" s="32">
        <f>SUM(G9:G12)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4" customWidth="1" min="3" max="3"/>
    <col width="12" customWidth="1" min="4" max="4"/>
    <col width="10" customWidth="1" min="5" max="5"/>
    <col width="8" customWidth="1" min="6" max="6"/>
    <col width="55" customWidth="1" min="7" max="7"/>
    <col width="14" customWidth="1" min="8" max="8"/>
  </cols>
  <sheetData>
    <row r="1">
      <c r="A1" s="16" t="inlineStr">
        <is>
          <t>Top risques — matrice probabilité × impact</t>
        </is>
      </c>
    </row>
    <row r="3">
      <c r="A3" s="17" t="inlineStr">
        <is>
          <t>ID</t>
        </is>
      </c>
      <c r="B3" s="17" t="inlineStr">
        <is>
          <t>Risque</t>
        </is>
      </c>
      <c r="C3" s="17" t="inlineStr">
        <is>
          <t>Catégorie</t>
        </is>
      </c>
      <c r="D3" s="17" t="inlineStr">
        <is>
          <t>Probabilité</t>
        </is>
      </c>
      <c r="E3" s="17" t="inlineStr">
        <is>
          <t>Impact</t>
        </is>
      </c>
      <c r="F3" s="17" t="inlineStr">
        <is>
          <t>Score</t>
        </is>
      </c>
      <c r="G3" s="17" t="inlineStr">
        <is>
          <t>Mitigation</t>
        </is>
      </c>
      <c r="H3" s="17" t="inlineStr">
        <is>
          <t>Propriétaire</t>
        </is>
      </c>
    </row>
    <row r="4">
      <c r="A4" s="7" t="inlineStr">
        <is>
          <t>R1</t>
        </is>
      </c>
      <c r="B4" s="7" t="inlineStr">
        <is>
          <t>Prompt injection via mail</t>
        </is>
      </c>
      <c r="C4" s="7" t="inlineStr">
        <is>
          <t>Sécurité</t>
        </is>
      </c>
      <c r="D4" s="7" t="n">
        <v>2</v>
      </c>
      <c r="E4" s="7" t="n">
        <v>3</v>
      </c>
      <c r="F4" s="9">
        <f>D4*E4</f>
        <v/>
      </c>
      <c r="G4" s="7" t="inlineStr">
        <is>
          <t>CTO</t>
        </is>
      </c>
    </row>
    <row r="5">
      <c r="A5" s="7" t="inlineStr">
        <is>
          <t>R2</t>
        </is>
      </c>
      <c r="B5" s="7" t="inlineStr">
        <is>
          <t>Dérive coûts LLM</t>
        </is>
      </c>
      <c r="C5" s="7" t="inlineStr">
        <is>
          <t>Finance</t>
        </is>
      </c>
      <c r="D5" s="7" t="n">
        <v>2</v>
      </c>
      <c r="E5" s="7" t="n">
        <v>2</v>
      </c>
      <c r="F5" s="9">
        <f>D5*E5</f>
        <v/>
      </c>
      <c r="G5" s="7" t="inlineStr">
        <is>
          <t>AI eng</t>
        </is>
      </c>
    </row>
    <row r="6">
      <c r="A6" s="7" t="inlineStr">
        <is>
          <t>R3</t>
        </is>
      </c>
      <c r="B6" s="7" t="inlineStr">
        <is>
          <t>Feycoil décroche (pas d'adoption)</t>
        </is>
      </c>
      <c r="C6" s="7" t="inlineStr">
        <is>
          <t>Produit</t>
        </is>
      </c>
      <c r="D6" s="7" t="n">
        <v>1</v>
      </c>
      <c r="E6" s="7" t="n">
        <v>3</v>
      </c>
      <c r="F6" s="9">
        <f>D6*E6</f>
        <v/>
      </c>
      <c r="G6" s="7" t="inlineStr">
        <is>
          <t>PO</t>
        </is>
      </c>
    </row>
    <row r="7">
      <c r="A7" s="7" t="inlineStr">
        <is>
          <t>R4</t>
        </is>
      </c>
      <c r="B7" s="7" t="inlineStr">
        <is>
          <t>Refus équipe à la V2</t>
        </is>
      </c>
      <c r="C7" s="7" t="inlineStr">
        <is>
          <t>Produit</t>
        </is>
      </c>
      <c r="D7" s="7" t="n">
        <v>2</v>
      </c>
      <c r="E7" s="7" t="n">
        <v>3</v>
      </c>
      <c r="F7" s="9">
        <f>D7*E7</f>
        <v/>
      </c>
      <c r="G7" s="7" t="inlineStr">
        <is>
          <t>PO</t>
        </is>
      </c>
    </row>
    <row r="8">
      <c r="A8" s="7" t="inlineStr">
        <is>
          <t>R5</t>
        </is>
      </c>
      <c r="B8" s="7" t="inlineStr">
        <is>
          <t>Expiration tokens M365</t>
        </is>
      </c>
      <c r="C8" s="7" t="inlineStr">
        <is>
          <t>Tech</t>
        </is>
      </c>
      <c r="D8" s="7" t="n">
        <v>2</v>
      </c>
      <c r="E8" s="7" t="n">
        <v>2</v>
      </c>
      <c r="F8" s="9">
        <f>D8*E8</f>
        <v/>
      </c>
      <c r="G8" s="7" t="inlineStr">
        <is>
          <t>Fullstack</t>
        </is>
      </c>
    </row>
    <row r="9">
      <c r="A9" s="7" t="inlineStr">
        <is>
          <t>R6</t>
        </is>
      </c>
      <c r="B9" s="7" t="inlineStr">
        <is>
          <t>Régression UI migration SolidJS</t>
        </is>
      </c>
      <c r="C9" s="7" t="inlineStr">
        <is>
          <t>Tech</t>
        </is>
      </c>
      <c r="D9" s="7" t="n">
        <v>3</v>
      </c>
      <c r="E9" s="7" t="n">
        <v>2</v>
      </c>
      <c r="F9" s="9">
        <f>D9*E9</f>
        <v/>
      </c>
      <c r="G9" s="7" t="inlineStr">
        <is>
          <t>Fullstack</t>
        </is>
      </c>
    </row>
    <row r="10">
      <c r="A10" s="7" t="inlineStr">
        <is>
          <t>R7</t>
        </is>
      </c>
      <c r="B10" s="7" t="inlineStr">
        <is>
          <t>Dépendance LLM providers</t>
        </is>
      </c>
      <c r="C10" s="7" t="inlineStr">
        <is>
          <t>Finance</t>
        </is>
      </c>
      <c r="D10" s="7" t="n">
        <v>1</v>
      </c>
      <c r="E10" s="7" t="n">
        <v>3</v>
      </c>
      <c r="F10" s="9">
        <f>D10*E10</f>
        <v/>
      </c>
      <c r="G10" s="7" t="inlineStr">
        <is>
          <t>CTO</t>
        </is>
      </c>
    </row>
    <row r="11">
      <c r="A11" s="7" t="inlineStr">
        <is>
          <t>R8</t>
        </is>
      </c>
      <c r="B11" s="7" t="inlineStr">
        <is>
          <t>Retard V1 &gt;4 sem</t>
        </is>
      </c>
      <c r="C11" s="7" t="inlineStr">
        <is>
          <t>PMO</t>
        </is>
      </c>
      <c r="D11" s="7" t="n">
        <v>2</v>
      </c>
      <c r="E11" s="7" t="n">
        <v>3</v>
      </c>
      <c r="F11" s="9">
        <f>D11*E11</f>
        <v/>
      </c>
      <c r="G11" s="7" t="inlineStr">
        <is>
          <t>PO</t>
        </is>
      </c>
    </row>
    <row r="12">
      <c r="A12" s="7" t="inlineStr">
        <is>
          <t>R9</t>
        </is>
      </c>
      <c r="B12" s="7" t="inlineStr">
        <is>
          <t>Fuite PII vers LLM</t>
        </is>
      </c>
      <c r="C12" s="7" t="inlineStr">
        <is>
          <t>Sécurité</t>
        </is>
      </c>
      <c r="D12" s="7" t="n">
        <v>1</v>
      </c>
      <c r="E12" s="7" t="n">
        <v>3</v>
      </c>
      <c r="F12" s="9">
        <f>D12*E12</f>
        <v/>
      </c>
      <c r="G12" s="7" t="inlineStr">
        <is>
          <t>DevSecOps</t>
        </is>
      </c>
    </row>
    <row r="13">
      <c r="A13" s="7" t="inlineStr">
        <is>
          <t>R10</t>
        </is>
      </c>
      <c r="B13" s="7" t="inlineStr">
        <is>
          <t>Audit SOC 2 échoue</t>
        </is>
      </c>
      <c r="C13" s="7" t="inlineStr">
        <is>
          <t>Compliance</t>
        </is>
      </c>
      <c r="D13" s="7" t="n">
        <v>1</v>
      </c>
      <c r="E13" s="7" t="n">
        <v>3</v>
      </c>
      <c r="F13" s="9">
        <f>D13*E13</f>
        <v/>
      </c>
      <c r="G13" s="7" t="inlineStr">
        <is>
          <t>CTO</t>
        </is>
      </c>
    </row>
    <row r="14">
      <c r="A14" s="7" t="inlineStr">
        <is>
          <t>R11</t>
        </is>
      </c>
      <c r="B14" s="7" t="inlineStr">
        <is>
          <t>Hallucinations persistantes mémoire</t>
        </is>
      </c>
      <c r="C14" s="7" t="inlineStr">
        <is>
          <t>Qualité</t>
        </is>
      </c>
      <c r="D14" s="7" t="n">
        <v>2</v>
      </c>
      <c r="E14" s="7" t="n">
        <v>2</v>
      </c>
      <c r="F14" s="9">
        <f>D14*E14</f>
        <v/>
      </c>
      <c r="G14" s="7" t="inlineStr">
        <is>
          <t>AI eng</t>
        </is>
      </c>
    </row>
    <row r="15">
      <c r="A15" s="7" t="inlineStr">
        <is>
          <t>R12</t>
        </is>
      </c>
      <c r="B15" s="7" t="inlineStr">
        <is>
          <t>Éreintement équipe dev</t>
        </is>
      </c>
      <c r="C15" s="7" t="inlineStr">
        <is>
          <t>RH</t>
        </is>
      </c>
      <c r="D15" s="7" t="n">
        <v>2</v>
      </c>
      <c r="E15" s="7" t="n">
        <v>2</v>
      </c>
      <c r="F15" s="9">
        <f>D15*E15</f>
        <v/>
      </c>
      <c r="G15" s="7" t="inlineStr">
        <is>
          <t>PMO</t>
        </is>
      </c>
    </row>
  </sheetData>
  <conditionalFormatting sqref="F4:F15">
    <cfRule type="colorScale" priority="1">
      <colorScale>
        <cfvo type="num" val="1"/>
        <cfvo type="num" val="4"/>
        <cfvo type="num" val="9"/>
        <color rgb="00D8ECDF"/>
        <color rgb="00F5E8CC"/>
        <color rgb="00F5DADA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2026-04-23T18:08:29Z</dcterms:created>
  <dcterms:modified xmlns:dcterms="http://purl.org/dc/terms/" xmlns:xsi="http://www.w3.org/2001/XMLSchema-instance" xsi:type="dcterms:W3CDTF">2026-04-23T18:08:29Z</dcterms:modified>
</cp:coreProperties>
</file>