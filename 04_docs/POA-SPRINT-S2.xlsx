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-Couverture" sheetId="1" state="visible" r:id="rId3"/>
    <sheet name="1-Issues" sheetId="2" state="visible" r:id="rId4"/>
    <sheet name="2-Budget" sheetId="3" state="visible" r:id="rId5"/>
    <sheet name="3-Acceptance" sheetId="4" state="visible" r:id="rId6"/>
    <sheet name="4-Planning" sheetId="5" state="visible" r:id="rId7"/>
    <sheet name="5-Risqu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<sst xmlns="http://schemas.openxmlformats.org/spreadsheetml/2006/main" count="287" uniqueCount="233">
  <si>
    <t xml:space="preserve">POA Sprint S2 - aiCEO v0.5</t>
  </si>
  <si>
    <t xml:space="preserve">Cockpit unifie + flux matin/soir + taches</t>
  </si>
  <si>
    <t xml:space="preserve">Sprint</t>
  </si>
  <si>
    <t xml:space="preserve">S2</t>
  </si>
  <si>
    <t xml:space="preserve">Demarrage</t>
  </si>
  <si>
    <t xml:space="preserve">Lundi 19/05/2026 09:00</t>
  </si>
  <si>
    <t xml:space="preserve">Fin de sprint</t>
  </si>
  <si>
    <t xml:space="preserve">Vendredi 30/05/2026 - tag v0.5-s2 lundi 02/06 si criteres verts</t>
  </si>
  <si>
    <t xml:space="preserve">Duree</t>
  </si>
  <si>
    <t xml:space="preserve">2 semaines (10 j ouvres)</t>
  </si>
  <si>
    <t xml:space="preserve">Budget</t>
  </si>
  <si>
    <t xml:space="preserve">~ 22,1 k EUR (20% de l'enveloppe v0.5 110 k EUR)</t>
  </si>
  <si>
    <t xml:space="preserve">Equipe</t>
  </si>
  <si>
    <t xml:space="preserve">2 fullstack + 0,3 designer + 0,3 PMO + CEO pilote</t>
  </si>
  <si>
    <t xml:space="preserve">Perimetre</t>
  </si>
  <si>
    <t xml:space="preserve">4 pages : index.html, arbitrage.html, evening.html, taches.html</t>
  </si>
  <si>
    <t xml:space="preserve">Document parent</t>
  </si>
  <si>
    <t xml:space="preserve">DOSSIER-SPRINT-S2.md</t>
  </si>
  <si>
    <t xml:space="preserve">Decision parent</t>
  </si>
  <si>
    <t xml:space="preserve">GO ExCom v0.5 - DOSSIER-GO-NOGO-V05.md</t>
  </si>
  <si>
    <t xml:space="preserve">Auteur</t>
  </si>
  <si>
    <t xml:space="preserve">Major Fey - CEO ETIC Services / pilote aiCEO</t>
  </si>
  <si>
    <t xml:space="preserve">Date du POA</t>
  </si>
  <si>
    <t xml:space="preserve">2026-04-25</t>
  </si>
  <si>
    <t xml:space="preserve">Onglets</t>
  </si>
  <si>
    <t xml:space="preserve">1-Issues</t>
  </si>
  <si>
    <t xml:space="preserve">10 issues GitHub a ouvrir avec acceptance criteria, charge, owner, dependances</t>
  </si>
  <si>
    <t xml:space="preserve">2-Budget</t>
  </si>
  <si>
    <t xml:space="preserve">Ventilation 22,1 k EUR + cumul v0.5 par sprint</t>
  </si>
  <si>
    <t xml:space="preserve">3-Acceptance</t>
  </si>
  <si>
    <t xml:space="preserve">10 criteres de fin de sprint (vendredi 30/05) avec checkbox</t>
  </si>
  <si>
    <t xml:space="preserve">4-Planning</t>
  </si>
  <si>
    <t xml:space="preserve">Cadence daily + jalons sprint sur 10 jours ouvres</t>
  </si>
  <si>
    <t xml:space="preserve">5-Risques</t>
  </si>
  <si>
    <t xml:space="preserve">Top 5 risques + plan B + declencheurs</t>
  </si>
  <si>
    <t xml:space="preserve">10 issues GitHub a ouvrir pour le sprint S2</t>
  </si>
  <si>
    <t xml:space="preserve">#</t>
  </si>
  <si>
    <t xml:space="preserve">Titre</t>
  </si>
  <si>
    <t xml:space="preserve">Description / acceptance</t>
  </si>
  <si>
    <t xml:space="preserve">Charge (j-dev)</t>
  </si>
  <si>
    <t xml:space="preserve">Owner</t>
  </si>
  <si>
    <t xml:space="preserve">Depend de</t>
  </si>
  <si>
    <t xml:space="preserve">Label</t>
  </si>
  <si>
    <t xml:space="preserve">Status</t>
  </si>
  <si>
    <t xml:space="preserve">S2.01</t>
  </si>
  <si>
    <t xml:space="preserve">Backend GET /api/cockpit/today</t>
  </si>
  <si>
    <t xml:space="preserve">Endpoint qui renvoie {intention, bigRocks, counters: {tasks, decisions, mails}, alerts}. Tests unitaires sur l'agregat. Doc curl.</t>
  </si>
  <si>
    <t xml:space="preserve">Dev1</t>
  </si>
  <si>
    <t xml:space="preserve">-</t>
  </si>
  <si>
    <t xml:space="preserve">sprint:s2,phase:fusion,backend</t>
  </si>
  <si>
    <t xml:space="preserve">A demarrer</t>
  </si>
  <si>
    <t xml:space="preserve">S2.02</t>
  </si>
  <si>
    <t xml:space="preserve">Frontend index.html -&gt; API</t>
  </si>
  <si>
    <t xml:space="preserve">Migration cockpit unifie sur /api/cockpit/today. Retrait de tous les acces AICEO.STATE.*. Drawer source-inspector branche.</t>
  </si>
  <si>
    <t xml:space="preserve">Dev2</t>
  </si>
  <si>
    <t xml:space="preserve">sprint:s2,phase:fusion,frontend</t>
  </si>
  <si>
    <t xml:space="preserve">S2.03</t>
  </si>
  <si>
    <t xml:space="preserve">Frontend arbitrage.html -&gt; API</t>
  </si>
  <si>
    <t xml:space="preserve">Migration sur /api/arbitrage/start, /commit, /today, /history. Drag &amp; drop natif HTML5 (fallback SortableJS si spike negatif). Emission taches/delegations en cascade.</t>
  </si>
  <si>
    <t xml:space="preserve">S2.04</t>
  </si>
  <si>
    <t xml:space="preserve">Frontend evening.html -&gt; API</t>
  </si>
  <si>
    <t xml:space="preserve">Migration sur /api/evening/*. Streak engine deplace en backend (table streaks). Top-3-demain reporte en arbitrage J+1.</t>
  </si>
  <si>
    <t xml:space="preserve">S2.05</t>
  </si>
  <si>
    <t xml:space="preserve">Frontend taches.html -&gt; API</t>
  </si>
  <si>
    <t xml:space="preserve">Migration sur /api/tasks/*. Matrice Eisenhower 2x2 avec drag entre quadrants (patch eisenhower). Quick-add inline conserve.</t>
  </si>
  <si>
    <t xml:space="preserve">S2.06</t>
  </si>
  <si>
    <t xml:space="preserve">Migrate-from-appweb.js complet</t>
  </si>
  <si>
    <t xml:space="preserve">Finaliser le script de migration (taches + decisions + contacts). Idempotent. check-migration.js vert avant et apres.</t>
  </si>
  <si>
    <t xml:space="preserve">sprint:s2,phase:fusion,migration</t>
  </si>
  <si>
    <t xml:space="preserve">S2.07</t>
  </si>
  <si>
    <t xml:space="preserve">Tests Playwright e2e</t>
  </si>
  <si>
    <t xml:space="preserve">3 specs : arbitrage-happy.spec.ts, evening-happy.spec.ts, tasks-crud.spec.ts. Headless Chromium. Jeux de donnees seed dedies.</t>
  </si>
  <si>
    <t xml:space="preserve">S2.03,S2.04,S2.05</t>
  </si>
  <si>
    <t xml:space="preserve">sprint:s2,phase:fusion,tests</t>
  </si>
  <si>
    <t xml:space="preserve">S2.08</t>
  </si>
  <si>
    <t xml:space="preserve">Tests unitaires extensions</t>
  </si>
  <si>
    <t xml:space="preserve">Couverture cockpit aggregator, tasks defer/toggle, evening rollup, streak engine. Cible &gt;= 30 tests verts (vs 23 en S1).</t>
  </si>
  <si>
    <t xml:space="preserve">S2.09</t>
  </si>
  <si>
    <t xml:space="preserve">Documentation API + onboarding</t>
  </si>
  <si>
    <t xml:space="preserve">Mise a jour 03_mvp/README.md (commandes, env vars). Curl examples par endpoint. Guide demarrage dev en 10 min.</t>
  </si>
  <si>
    <t xml:space="preserve">PMO</t>
  </si>
  <si>
    <t xml:space="preserve">sprint:s2,phase:fusion,docs</t>
  </si>
  <si>
    <t xml:space="preserve">S2.10</t>
  </si>
  <si>
    <t xml:space="preserve">Spike WebSocket (preparation S4)</t>
  </si>
  <si>
    <t xml:space="preserve">Time-boxe 3 j strict. POC chat live entre client web et serveur Node. Evalue ws vs socket.io. ADR de bascule en fin S2.</t>
  </si>
  <si>
    <t xml:space="preserve">sprint:s2,phase:fusion,spike</t>
  </si>
  <si>
    <t xml:space="preserve">TOTAL</t>
  </si>
  <si>
    <t xml:space="preserve">Capacite brute 2 dev x 10 j = 20 j-dev. Surcharge S2.10 absorbable car spike compressible.</t>
  </si>
  <si>
    <t xml:space="preserve">Budget Sprint S2 - ventilation 22,1 k EUR</t>
  </si>
  <si>
    <t xml:space="preserve">Hypotheses</t>
  </si>
  <si>
    <t xml:space="preserve">Duree sprint</t>
  </si>
  <si>
    <t xml:space="preserve">semaines</t>
  </si>
  <si>
    <t xml:space="preserve">Jours ouvres/semaine</t>
  </si>
  <si>
    <t xml:space="preserve">j (vendredi demi-journee)</t>
  </si>
  <si>
    <t xml:space="preserve">Tarif journalier dev senior</t>
  </si>
  <si>
    <t xml:space="preserve">EUR/j</t>
  </si>
  <si>
    <t xml:space="preserve">Postes</t>
  </si>
  <si>
    <t xml:space="preserve">Poste</t>
  </si>
  <si>
    <t xml:space="preserve">ETP</t>
  </si>
  <si>
    <t xml:space="preserve">Calcul</t>
  </si>
  <si>
    <t xml:space="preserve">Montant (EUR)</t>
  </si>
  <si>
    <t xml:space="preserve">% du sprint</t>
  </si>
  <si>
    <t xml:space="preserve">Dev fullstack (2 ETP)</t>
  </si>
  <si>
    <t xml:space="preserve">ETP x duree x j/sem x tarif</t>
  </si>
  <si>
    <t xml:space="preserve">Designer DS (0,3 ETP)</t>
  </si>
  <si>
    <t xml:space="preserve">PMO (0,3 ETP)</t>
  </si>
  <si>
    <t xml:space="preserve">Sous-total equipe</t>
  </si>
  <si>
    <t xml:space="preserve">LLM Claude Sonnet 4.5</t>
  </si>
  <si>
    <t xml:space="preserve">1 arbitrage/jour usage normal x 10 j</t>
  </si>
  <si>
    <t xml:space="preserve">Provision risque (5%)</t>
  </si>
  <si>
    <t xml:space="preserve">scope creep, depassement leger</t>
  </si>
  <si>
    <t xml:space="preserve">TOTAL S2</t>
  </si>
  <si>
    <t xml:space="preserve">Cumul v0.5 (110 k EUR enveloppe)</t>
  </si>
  <si>
    <t xml:space="preserve">Periode</t>
  </si>
  <si>
    <t xml:space="preserve">Cout (EUR)</t>
  </si>
  <si>
    <t xml:space="preserve">Cumul (EUR)</t>
  </si>
  <si>
    <t xml:space="preserve">% v0.5</t>
  </si>
  <si>
    <t xml:space="preserve">S1 (livre 25/04, dogfood CEO)</t>
  </si>
  <si>
    <t xml:space="preserve">S2 (en cours)</t>
  </si>
  <si>
    <t xml:space="preserve">19/05 -&gt; 01/06</t>
  </si>
  <si>
    <t xml:space="preserve">S3 prevu</t>
  </si>
  <si>
    <t xml:space="preserve">02/06 -&gt; 15/06</t>
  </si>
  <si>
    <t xml:space="preserve">S4 prevu</t>
  </si>
  <si>
    <t xml:space="preserve">16/06 -&gt; 29/06</t>
  </si>
  <si>
    <t xml:space="preserve">S5 prevu</t>
  </si>
  <si>
    <t xml:space="preserve">30/06 -&gt; 06/07</t>
  </si>
  <si>
    <t xml:space="preserve">S6 prevu</t>
  </si>
  <si>
    <t xml:space="preserve">07/07 -&gt; 14/07</t>
  </si>
  <si>
    <t xml:space="preserve">Provisions + LLM + infra</t>
  </si>
  <si>
    <t xml:space="preserve">10 criteres de fin de sprint (vendredi 30/05)</t>
  </si>
  <si>
    <t xml:space="preserve">Tag v0.5-s2 pose lundi 02/06 si tous les criteres sont verts. Sinon retro + plan rattrapage.</t>
  </si>
  <si>
    <t xml:space="preserve">Critere</t>
  </si>
  <si>
    <t xml:space="preserve">Mesure / outil</t>
  </si>
  <si>
    <t xml:space="preserve">Statut</t>
  </si>
  <si>
    <t xml:space="preserve">Commentaire</t>
  </si>
  <si>
    <t xml:space="preserve">4 pages accessibles a localhost:3001</t>
  </si>
  <si>
    <t xml:space="preserve">curl http://localhost:3001/{index,arbitrage,evening,taches}.html -&gt; 200</t>
  </si>
  <si>
    <t xml:space="preserve">A verifier</t>
  </si>
  <si>
    <t xml:space="preserve">Zero localStorage applicatif</t>
  </si>
  <si>
    <t xml:space="preserve">grep -r "localStorage." 03_mvp/public/ -&gt; 0 (UI prefs tolerees)</t>
  </si>
  <si>
    <t xml:space="preserve">Inclut tous les acces AICEO.STATE.*</t>
  </si>
  <si>
    <t xml:space="preserve">Flux matin stable 3 j</t>
  </si>
  <si>
    <t xml:space="preserve">3 sessions arbitrage start-&gt;commit consecutives sans erreur</t>
  </si>
  <si>
    <t xml:space="preserve">Verifier sur logs Pino</t>
  </si>
  <si>
    <t xml:space="preserve">Flux soir stable 3 j</t>
  </si>
  <si>
    <t xml:space="preserve">3 bilans evening sur 3 j consecutifs + top-3-demain reporte</t>
  </si>
  <si>
    <t xml:space="preserve">CRUD taches via API</t>
  </si>
  <si>
    <t xml:space="preserve">toggle, defer, delete fonctionnels et persistes SQLite</t>
  </si>
  <si>
    <t xml:space="preserve">Matrice Eisenhower OK</t>
  </si>
  <si>
    <t xml:space="preserve">drag entre quadrants -&gt; patch eisenhower cote backend</t>
  </si>
  <si>
    <t xml:space="preserve">Migration localStorage -&gt; SQLite sans perte</t>
  </si>
  <si>
    <t xml:space="preserve">check-migration.js vert avant ET apres migrate-from-appweb.js</t>
  </si>
  <si>
    <t xml:space="preserve">Fixture aiceo-state-2026-04-25.json</t>
  </si>
  <si>
    <t xml:space="preserve">Tests Playwright e2e verts</t>
  </si>
  <si>
    <t xml:space="preserve">3 specs : arbitrage-happy, evening-happy, tasks-crud</t>
  </si>
  <si>
    <t xml:space="preserve">Tests unitaires &gt;= 30</t>
  </si>
  <si>
    <t xml:space="preserve">npm test -&gt; &gt;= 30 tests verts (vs 23 en S1)</t>
  </si>
  <si>
    <t xml:space="preserve">CI GitHub Actions verte</t>
  </si>
  <si>
    <t xml:space="preserve">lint + unit + e2e + audit dans workflow main</t>
  </si>
  <si>
    <t xml:space="preserve">Score</t>
  </si>
  <si>
    <t xml:space="preserve">Saisir 'Vert' / 'Orange' / 'Rouge' dans la colonne Statut</t>
  </si>
  <si>
    <t xml:space="preserve">Planning S2 - 10 jours ouvres</t>
  </si>
  <si>
    <t xml:space="preserve">Daily 09:00 (15 min) lundi-vendredi. Demos vendredis 16:00. Mid-sprint check ExCom mercredi 28/05.</t>
  </si>
  <si>
    <t xml:space="preserve">Date</t>
  </si>
  <si>
    <t xml:space="preserve">Jour</t>
  </si>
  <si>
    <t xml:space="preserve">Activites cles</t>
  </si>
  <si>
    <t xml:space="preserve">Output</t>
  </si>
  <si>
    <t xml:space="preserve">19/05</t>
  </si>
  <si>
    <t xml:space="preserve">Lun</t>
  </si>
  <si>
    <t xml:space="preserve">Kickoff 45 min + ouverture des 10 issues + setup branche release/v0.5-s2</t>
  </si>
  <si>
    <t xml:space="preserve">Sprint demarre</t>
  </si>
  <si>
    <t xml:space="preserve">20/05</t>
  </si>
  <si>
    <t xml:space="preserve">Mar</t>
  </si>
  <si>
    <t xml:space="preserve">S2.01 + S2.03 demarrent. PMO ouvre milestone GitHub.</t>
  </si>
  <si>
    <t xml:space="preserve">Issues actives</t>
  </si>
  <si>
    <t xml:space="preserve">21/05</t>
  </si>
  <si>
    <t xml:space="preserve">Mer</t>
  </si>
  <si>
    <t xml:space="preserve">S2.06 demarre. Mid-week point synchro 14:00 (15 min).</t>
  </si>
  <si>
    <t xml:space="preserve">Migration en cours</t>
  </si>
  <si>
    <t xml:space="preserve">22/05</t>
  </si>
  <si>
    <t xml:space="preserve">Jeu</t>
  </si>
  <si>
    <t xml:space="preserve">S2.02 demarre (depend S2.01). Spike S2.10 demarre en parallele.</t>
  </si>
  <si>
    <t xml:space="preserve">23/05</t>
  </si>
  <si>
    <t xml:space="preserve">Ven</t>
  </si>
  <si>
    <t xml:space="preserve">Demo intermediaire 16:00 - etat cockpit + arbitrage. Retro mini (10 min).</t>
  </si>
  <si>
    <t xml:space="preserve">Demo S2 mid-week 1</t>
  </si>
  <si>
    <t xml:space="preserve">26/05</t>
  </si>
  <si>
    <t xml:space="preserve">S2.04 + S2.05 demarrent.</t>
  </si>
  <si>
    <t xml:space="preserve">27/05</t>
  </si>
  <si>
    <t xml:space="preserve">S2.07 demarre (tests e2e).</t>
  </si>
  <si>
    <t xml:space="preserve">28/05</t>
  </si>
  <si>
    <t xml:space="preserve">Mid-sprint check ExCom (Major Fey, 15 min) - alerte si derive &gt;= 1 j.</t>
  </si>
  <si>
    <t xml:space="preserve">Go/no-go plan B taches.html</t>
  </si>
  <si>
    <t xml:space="preserve">29/05</t>
  </si>
  <si>
    <t xml:space="preserve">S2.08 + S2.09. Stabilisation.</t>
  </si>
  <si>
    <t xml:space="preserve">30/05</t>
  </si>
  <si>
    <t xml:space="preserve">Demo finale 16:00 + retro 30 min + ouverture milestone S3.</t>
  </si>
  <si>
    <t xml:space="preserve">Sprint clos . Demo S2 finale</t>
  </si>
  <si>
    <t xml:space="preserve">02/06</t>
  </si>
  <si>
    <t xml:space="preserve">Tag v0.5-s2 si criteres §2 verts. Sinon plan rattrapage 1 j.</t>
  </si>
  <si>
    <t xml:space="preserve">Tag v0.5-s2 ou rattrapage</t>
  </si>
  <si>
    <t xml:space="preserve">Risque</t>
  </si>
  <si>
    <t xml:space="preserve">Probabilite</t>
  </si>
  <si>
    <t xml:space="preserve">Impact</t>
  </si>
  <si>
    <t xml:space="preserve">Plan B</t>
  </si>
  <si>
    <t xml:space="preserve">Declencheur</t>
  </si>
  <si>
    <t xml:space="preserve">R1</t>
  </si>
  <si>
    <t xml:space="preserve">Densification due a taches.html absorbe</t>
  </si>
  <si>
    <t xml:space="preserve">Moyenne</t>
  </si>
  <si>
    <t xml:space="preserve">P1 - Sprint derape de 1-2 j</t>
  </si>
  <si>
    <t xml:space="preserve">Re-decaler taches.html en S3, conserver le perimetre original 3 pages</t>
  </si>
  <si>
    <t xml:space="preserve">Derive &gt;= 1 j cumulee vendredi 23/05 (mid-week 1)</t>
  </si>
  <si>
    <t xml:space="preserve">R2</t>
  </si>
  <si>
    <t xml:space="preserve">Drag &amp; drop arbitrage en JS natif insuffisant</t>
  </si>
  <si>
    <t xml:space="preserve">Faible</t>
  </si>
  <si>
    <t xml:space="preserve">P2 - Sprint derape de 0,5 j</t>
  </si>
  <si>
    <t xml:space="preserve">Vendore SortableJS (7 ko gzip, single dep, offline-first)</t>
  </si>
  <si>
    <t xml:space="preserve">Spike jeudi 21/05 matin revele &gt; 4h supplementaires</t>
  </si>
  <si>
    <t xml:space="preserve">R3</t>
  </si>
  <si>
    <t xml:space="preserve">Divergence shape app-web vs MVP sur tasks</t>
  </si>
  <si>
    <t xml:space="preserve">P1 - Perte de donnees utilisateur</t>
  </si>
  <si>
    <t xml:space="preserve">check-migration.js bloquant + fixture aiceo-state-2026-04-25.json</t>
  </si>
  <si>
    <t xml:space="preserve">check-migration.js rouge a n'importe quel run</t>
  </si>
  <si>
    <t xml:space="preserve">R4</t>
  </si>
  <si>
    <t xml:space="preserve">Streak engine - definition metier flotte</t>
  </si>
  <si>
    <t xml:space="preserve">P2 - Dette technique legere</t>
  </si>
  <si>
    <t xml:space="preserve">ADR redige jour 1 par PMO : 2026-05-19 streak engine definition metier</t>
  </si>
  <si>
    <t xml:space="preserve">Avant fin S2.04 (jeudi 28/05)</t>
  </si>
  <si>
    <t xml:space="preserve">R5</t>
  </si>
  <si>
    <t xml:space="preserve">Spike WebSocket S2.10 vampirise capacite tests</t>
  </si>
  <si>
    <t xml:space="preserve">P2 - Tests e2e decales</t>
  </si>
  <si>
    <t xml:space="preserve">Time-box strict 3 j. Si pas concluant a J+5, parking et fermeture S2.10.</t>
  </si>
  <si>
    <t xml:space="preserve">S2.10 depasse 3 j absorbes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</si>
</sst>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&quot; EUR&quot;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E2761"/>
      <name val="Arial"/>
      <family val="0"/>
      <charset val="1"/>
    </font>
    <font>
      <i val="true"/>
      <sz val="14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E276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ADCFC"/>
        <bgColor rgb="FFCCFFFF"/>
      </patternFill>
    </fill>
    <fill>
      <patternFill patternType="solid">
        <fgColor rgb="FFF9E795"/>
        <bgColor rgb="FFFFCC99"/>
      </patternFill>
    </fill>
    <fill>
      <patternFill patternType="solid">
        <fgColor rgb="FF1E2761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79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39.75" hidden="false" customHeight="true" outlineLevel="0" collapsed="false">
      <c r="A1" s="1" t="s">
        <v>0</v>
      </c>
    </row>
    <row r="3" customFormat="false" ht="17.3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8" customFormat="false" ht="15" hidden="false" customHeight="false" outlineLevel="0" collapsed="false">
      <c r="A18" s="5" t="s">
        <v>24</v>
      </c>
    </row>
    <row r="19" customFormat="false" ht="15" hidden="false" customHeight="false" outlineLevel="0" collapsed="false">
      <c r="A19" s="6" t="s">
        <v>25</v>
      </c>
      <c r="B19" s="4" t="s">
        <v>26</v>
      </c>
    </row>
    <row r="20" customFormat="false" ht="15" hidden="false" customHeight="false" outlineLevel="0" collapsed="false">
      <c r="A20" s="6" t="s">
        <v>27</v>
      </c>
      <c r="B20" s="4" t="s">
        <v>28</v>
      </c>
    </row>
    <row r="21" customFormat="false" ht="15" hidden="false" customHeight="false" outlineLevel="0" collapsed="false">
      <c r="A21" s="6" t="s">
        <v>29</v>
      </c>
      <c r="B21" s="4" t="s">
        <v>30</v>
      </c>
    </row>
    <row r="22" customFormat="false" ht="15" hidden="false" customHeight="false" outlineLevel="0" collapsed="false">
      <c r="A22" s="6" t="s">
        <v>31</v>
      </c>
      <c r="B22" s="4" t="s">
        <v>32</v>
      </c>
    </row>
    <row r="23" customFormat="false" ht="15" hidden="false" customHeight="false" outlineLevel="0" collapsed="false">
      <c r="A23" s="6" t="s">
        <v>33</v>
      </c>
      <c r="B23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7" t="s">
        <v>35</v>
      </c>
      <c r="B1" s="7"/>
      <c r="C1" s="7"/>
      <c r="D1" s="7"/>
      <c r="E1" s="7"/>
      <c r="F1" s="7"/>
      <c r="G1" s="7"/>
      <c r="H1" s="7"/>
    </row>
    <row r="3" customFormat="false" ht="26.85" hidden="false" customHeight="false" outlineLevel="0" collapsed="false">
      <c r="A3" s="8" t="s">
        <v>36</v>
      </c>
      <c r="B3" s="8" t="s">
        <v>37</v>
      </c>
      <c r="C3" s="8" t="s">
        <v>38</v>
      </c>
      <c r="D3" s="8" t="s">
        <v>39</v>
      </c>
      <c r="E3" s="8" t="s">
        <v>40</v>
      </c>
      <c r="F3" s="8" t="s">
        <v>41</v>
      </c>
      <c r="G3" s="8" t="s">
        <v>42</v>
      </c>
      <c r="H3" s="8" t="s">
        <v>43</v>
      </c>
    </row>
    <row r="4" customFormat="false" ht="69.75" hidden="false" customHeight="true" outlineLevel="0" collapsed="false">
      <c r="A4" s="9" t="s">
        <v>44</v>
      </c>
      <c r="B4" s="10" t="s">
        <v>45</v>
      </c>
      <c r="C4" s="10" t="s">
        <v>46</v>
      </c>
      <c r="D4" s="9" t="n">
        <v>1.5</v>
      </c>
      <c r="E4" s="9" t="s">
        <v>47</v>
      </c>
      <c r="F4" s="9" t="s">
        <v>48</v>
      </c>
      <c r="G4" s="9" t="s">
        <v>49</v>
      </c>
      <c r="H4" s="11" t="s">
        <v>50</v>
      </c>
    </row>
    <row r="5" customFormat="false" ht="69.75" hidden="false" customHeight="true" outlineLevel="0" collapsed="false">
      <c r="A5" s="9" t="s">
        <v>51</v>
      </c>
      <c r="B5" s="10" t="s">
        <v>52</v>
      </c>
      <c r="C5" s="10" t="s">
        <v>53</v>
      </c>
      <c r="D5" s="9" t="n">
        <v>2</v>
      </c>
      <c r="E5" s="9" t="s">
        <v>54</v>
      </c>
      <c r="F5" s="9" t="s">
        <v>44</v>
      </c>
      <c r="G5" s="9" t="s">
        <v>55</v>
      </c>
      <c r="H5" s="11" t="s">
        <v>50</v>
      </c>
    </row>
    <row r="6" customFormat="false" ht="69.75" hidden="false" customHeight="true" outlineLevel="0" collapsed="false">
      <c r="A6" s="9" t="s">
        <v>56</v>
      </c>
      <c r="B6" s="10" t="s">
        <v>57</v>
      </c>
      <c r="C6" s="10" t="s">
        <v>58</v>
      </c>
      <c r="D6" s="9" t="n">
        <v>3</v>
      </c>
      <c r="E6" s="9" t="s">
        <v>47</v>
      </c>
      <c r="F6" s="9" t="s">
        <v>48</v>
      </c>
      <c r="G6" s="9" t="s">
        <v>55</v>
      </c>
      <c r="H6" s="11" t="s">
        <v>50</v>
      </c>
    </row>
    <row r="7" customFormat="false" ht="69.75" hidden="false" customHeight="true" outlineLevel="0" collapsed="false">
      <c r="A7" s="9" t="s">
        <v>59</v>
      </c>
      <c r="B7" s="10" t="s">
        <v>60</v>
      </c>
      <c r="C7" s="10" t="s">
        <v>61</v>
      </c>
      <c r="D7" s="9" t="n">
        <v>2</v>
      </c>
      <c r="E7" s="9" t="s">
        <v>54</v>
      </c>
      <c r="F7" s="9" t="s">
        <v>48</v>
      </c>
      <c r="G7" s="9" t="s">
        <v>55</v>
      </c>
      <c r="H7" s="11" t="s">
        <v>50</v>
      </c>
    </row>
    <row r="8" customFormat="false" ht="69.75" hidden="false" customHeight="true" outlineLevel="0" collapsed="false">
      <c r="A8" s="9" t="s">
        <v>62</v>
      </c>
      <c r="B8" s="10" t="s">
        <v>63</v>
      </c>
      <c r="C8" s="10" t="s">
        <v>64</v>
      </c>
      <c r="D8" s="9" t="n">
        <v>3</v>
      </c>
      <c r="E8" s="9" t="s">
        <v>54</v>
      </c>
      <c r="F8" s="9" t="s">
        <v>65</v>
      </c>
      <c r="G8" s="9" t="s">
        <v>55</v>
      </c>
      <c r="H8" s="11" t="s">
        <v>50</v>
      </c>
    </row>
    <row r="9" customFormat="false" ht="69.75" hidden="false" customHeight="true" outlineLevel="0" collapsed="false">
      <c r="A9" s="9" t="s">
        <v>65</v>
      </c>
      <c r="B9" s="10" t="s">
        <v>66</v>
      </c>
      <c r="C9" s="10" t="s">
        <v>67</v>
      </c>
      <c r="D9" s="9" t="n">
        <v>1.5</v>
      </c>
      <c r="E9" s="9" t="s">
        <v>47</v>
      </c>
      <c r="F9" s="9" t="s">
        <v>48</v>
      </c>
      <c r="G9" s="9" t="s">
        <v>68</v>
      </c>
      <c r="H9" s="11" t="s">
        <v>50</v>
      </c>
    </row>
    <row r="10" customFormat="false" ht="69.75" hidden="false" customHeight="true" outlineLevel="0" collapsed="false">
      <c r="A10" s="9" t="s">
        <v>69</v>
      </c>
      <c r="B10" s="10" t="s">
        <v>70</v>
      </c>
      <c r="C10" s="10" t="s">
        <v>71</v>
      </c>
      <c r="D10" s="9" t="n">
        <v>2</v>
      </c>
      <c r="E10" s="9" t="s">
        <v>47</v>
      </c>
      <c r="F10" s="9" t="s">
        <v>72</v>
      </c>
      <c r="G10" s="9" t="s">
        <v>73</v>
      </c>
      <c r="H10" s="11" t="s">
        <v>50</v>
      </c>
    </row>
    <row r="11" customFormat="false" ht="69.75" hidden="false" customHeight="true" outlineLevel="0" collapsed="false">
      <c r="A11" s="9" t="s">
        <v>74</v>
      </c>
      <c r="B11" s="10" t="s">
        <v>75</v>
      </c>
      <c r="C11" s="10" t="s">
        <v>76</v>
      </c>
      <c r="D11" s="9" t="n">
        <v>1</v>
      </c>
      <c r="E11" s="9" t="s">
        <v>54</v>
      </c>
      <c r="F11" s="9" t="s">
        <v>48</v>
      </c>
      <c r="G11" s="9" t="s">
        <v>73</v>
      </c>
      <c r="H11" s="11" t="s">
        <v>50</v>
      </c>
    </row>
    <row r="12" customFormat="false" ht="69.75" hidden="false" customHeight="true" outlineLevel="0" collapsed="false">
      <c r="A12" s="9" t="s">
        <v>77</v>
      </c>
      <c r="B12" s="10" t="s">
        <v>78</v>
      </c>
      <c r="C12" s="10" t="s">
        <v>79</v>
      </c>
      <c r="D12" s="9" t="n">
        <v>0.5</v>
      </c>
      <c r="E12" s="9" t="s">
        <v>80</v>
      </c>
      <c r="F12" s="9" t="s">
        <v>48</v>
      </c>
      <c r="G12" s="9" t="s">
        <v>81</v>
      </c>
      <c r="H12" s="11" t="s">
        <v>50</v>
      </c>
    </row>
    <row r="13" customFormat="false" ht="69.75" hidden="false" customHeight="true" outlineLevel="0" collapsed="false">
      <c r="A13" s="9" t="s">
        <v>82</v>
      </c>
      <c r="B13" s="10" t="s">
        <v>83</v>
      </c>
      <c r="C13" s="10" t="s">
        <v>84</v>
      </c>
      <c r="D13" s="9" t="n">
        <v>3</v>
      </c>
      <c r="E13" s="9" t="s">
        <v>47</v>
      </c>
      <c r="F13" s="9" t="s">
        <v>48</v>
      </c>
      <c r="G13" s="9" t="s">
        <v>85</v>
      </c>
      <c r="H13" s="11" t="s">
        <v>50</v>
      </c>
    </row>
    <row r="14" customFormat="false" ht="35.05" hidden="false" customHeight="false" outlineLevel="0" collapsed="false">
      <c r="A14" s="12" t="s">
        <v>86</v>
      </c>
      <c r="B14" s="13" t="s">
        <v>87</v>
      </c>
      <c r="D14" s="14" t="n">
        <f aca="false">SUM(D4:D13)</f>
        <v>19.5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7" t="s">
        <v>88</v>
      </c>
      <c r="B1" s="7"/>
      <c r="C1" s="7"/>
      <c r="D1" s="7"/>
      <c r="E1" s="7"/>
    </row>
    <row r="3" customFormat="false" ht="15" hidden="false" customHeight="false" outlineLevel="0" collapsed="false">
      <c r="A3" s="15" t="s">
        <v>89</v>
      </c>
      <c r="B3" s="15"/>
      <c r="C3" s="15"/>
      <c r="D3" s="15"/>
      <c r="E3" s="15"/>
    </row>
    <row r="4" customFormat="false" ht="15" hidden="false" customHeight="false" outlineLevel="0" collapsed="false">
      <c r="A4" s="16" t="s">
        <v>90</v>
      </c>
      <c r="B4" s="17" t="n">
        <v>2</v>
      </c>
      <c r="C4" s="18" t="s">
        <v>91</v>
      </c>
    </row>
    <row r="5" customFormat="false" ht="15" hidden="false" customHeight="false" outlineLevel="0" collapsed="false">
      <c r="A5" s="16" t="s">
        <v>92</v>
      </c>
      <c r="B5" s="17" t="n">
        <v>4.5</v>
      </c>
      <c r="C5" s="18" t="s">
        <v>93</v>
      </c>
    </row>
    <row r="6" customFormat="false" ht="15" hidden="false" customHeight="false" outlineLevel="0" collapsed="false">
      <c r="A6" s="16" t="s">
        <v>94</v>
      </c>
      <c r="B6" s="17" t="n">
        <v>900</v>
      </c>
      <c r="C6" s="18" t="s">
        <v>95</v>
      </c>
    </row>
    <row r="8" customFormat="false" ht="15" hidden="false" customHeight="false" outlineLevel="0" collapsed="false">
      <c r="A8" s="15" t="s">
        <v>96</v>
      </c>
      <c r="B8" s="15"/>
      <c r="C8" s="15"/>
      <c r="D8" s="15"/>
      <c r="E8" s="15"/>
    </row>
    <row r="9" customFormat="false" ht="15" hidden="false" customHeight="false" outlineLevel="0" collapsed="false">
      <c r="A9" s="8" t="s">
        <v>97</v>
      </c>
      <c r="B9" s="8" t="s">
        <v>98</v>
      </c>
      <c r="C9" s="8" t="s">
        <v>99</v>
      </c>
      <c r="D9" s="8" t="s">
        <v>100</v>
      </c>
      <c r="E9" s="8" t="s">
        <v>101</v>
      </c>
    </row>
    <row r="10" customFormat="false" ht="15" hidden="false" customHeight="false" outlineLevel="0" collapsed="false">
      <c r="A10" s="16" t="s">
        <v>102</v>
      </c>
      <c r="B10" s="17" t="n">
        <v>2</v>
      </c>
      <c r="C10" s="18" t="s">
        <v>103</v>
      </c>
      <c r="D10" s="19" t="n">
        <f aca="false">B4*B5*B6*B10</f>
        <v>16200</v>
      </c>
      <c r="E10" s="20" t="n">
        <f aca="false">D10/$D$16</f>
        <v>0.731608183173012</v>
      </c>
    </row>
    <row r="11" customFormat="false" ht="15" hidden="false" customHeight="false" outlineLevel="0" collapsed="false">
      <c r="A11" s="16" t="s">
        <v>104</v>
      </c>
      <c r="B11" s="17" t="n">
        <v>0.3</v>
      </c>
      <c r="C11" s="18" t="s">
        <v>103</v>
      </c>
      <c r="D11" s="19" t="n">
        <f aca="false">B4*B5*B6*B11</f>
        <v>2430</v>
      </c>
      <c r="E11" s="20" t="n">
        <f aca="false">D11/$D$16</f>
        <v>0.109741227475952</v>
      </c>
    </row>
    <row r="12" customFormat="false" ht="15" hidden="false" customHeight="false" outlineLevel="0" collapsed="false">
      <c r="A12" s="16" t="s">
        <v>105</v>
      </c>
      <c r="B12" s="17" t="n">
        <v>0.3</v>
      </c>
      <c r="C12" s="18" t="s">
        <v>103</v>
      </c>
      <c r="D12" s="19" t="n">
        <f aca="false">B4*B5*B6*B12</f>
        <v>2430</v>
      </c>
      <c r="E12" s="20" t="n">
        <f aca="false">D12/$D$16</f>
        <v>0.109741227475952</v>
      </c>
    </row>
    <row r="13" customFormat="false" ht="15" hidden="false" customHeight="false" outlineLevel="0" collapsed="false">
      <c r="A13" s="12" t="s">
        <v>106</v>
      </c>
      <c r="D13" s="21" t="n">
        <f aca="false">SUM(D10:D12)</f>
        <v>21060</v>
      </c>
      <c r="E13" s="22" t="n">
        <f aca="false">D13/$D$16</f>
        <v>0.951090638124915</v>
      </c>
    </row>
    <row r="14" customFormat="false" ht="15" hidden="false" customHeight="false" outlineLevel="0" collapsed="false">
      <c r="A14" s="16" t="s">
        <v>107</v>
      </c>
      <c r="C14" s="18" t="s">
        <v>108</v>
      </c>
      <c r="D14" s="19" t="n">
        <v>30</v>
      </c>
      <c r="E14" s="20" t="n">
        <f aca="false">D14/$D$16</f>
        <v>0.00135482996883891</v>
      </c>
    </row>
    <row r="15" customFormat="false" ht="15" hidden="false" customHeight="false" outlineLevel="0" collapsed="false">
      <c r="A15" s="16" t="s">
        <v>109</v>
      </c>
      <c r="C15" s="18" t="s">
        <v>110</v>
      </c>
      <c r="D15" s="19" t="n">
        <f aca="false">ROUND(D13*0.05,0)</f>
        <v>1053</v>
      </c>
      <c r="E15" s="20" t="n">
        <f aca="false">D15/$D$16</f>
        <v>0.0475545319062458</v>
      </c>
    </row>
    <row r="16" customFormat="false" ht="15" hidden="false" customHeight="false" outlineLevel="0" collapsed="false">
      <c r="A16" s="23" t="s">
        <v>111</v>
      </c>
      <c r="D16" s="24" t="n">
        <f aca="false">D13+D14+D15</f>
        <v>22143</v>
      </c>
      <c r="E16" s="25" t="n">
        <f aca="false">D16/$D$16</f>
        <v>1</v>
      </c>
    </row>
    <row r="19" customFormat="false" ht="15" hidden="false" customHeight="false" outlineLevel="0" collapsed="false">
      <c r="A19" s="15" t="s">
        <v>112</v>
      </c>
      <c r="B19" s="15"/>
      <c r="C19" s="15"/>
      <c r="D19" s="15"/>
      <c r="E19" s="15"/>
    </row>
    <row r="20" customFormat="false" ht="15" hidden="false" customHeight="false" outlineLevel="0" collapsed="false">
      <c r="A20" s="8" t="s">
        <v>2</v>
      </c>
      <c r="B20" s="8" t="s">
        <v>113</v>
      </c>
      <c r="C20" s="8" t="s">
        <v>114</v>
      </c>
      <c r="D20" s="8" t="s">
        <v>115</v>
      </c>
      <c r="E20" s="8" t="s">
        <v>116</v>
      </c>
    </row>
    <row r="21" customFormat="false" ht="15" hidden="false" customHeight="false" outlineLevel="0" collapsed="false">
      <c r="A21" s="16" t="s">
        <v>117</v>
      </c>
      <c r="B21" s="26" t="s">
        <v>48</v>
      </c>
      <c r="C21" s="19" t="n">
        <v>0</v>
      </c>
      <c r="D21" s="27" t="n">
        <f aca="false">C21</f>
        <v>0</v>
      </c>
      <c r="E21" s="28" t="n">
        <f aca="false">D21/110000</f>
        <v>0</v>
      </c>
    </row>
    <row r="22" customFormat="false" ht="15" hidden="false" customHeight="false" outlineLevel="0" collapsed="false">
      <c r="A22" s="16" t="s">
        <v>118</v>
      </c>
      <c r="B22" s="26" t="s">
        <v>119</v>
      </c>
      <c r="C22" s="19" t="n">
        <f aca="false">D16</f>
        <v>22143</v>
      </c>
      <c r="D22" s="27" t="n">
        <f aca="false">D21+C22</f>
        <v>22143</v>
      </c>
      <c r="E22" s="28" t="n">
        <f aca="false">D22/110000</f>
        <v>0.2013</v>
      </c>
    </row>
    <row r="23" customFormat="false" ht="15" hidden="false" customHeight="false" outlineLevel="0" collapsed="false">
      <c r="A23" s="16" t="s">
        <v>120</v>
      </c>
      <c r="B23" s="26" t="s">
        <v>121</v>
      </c>
      <c r="C23" s="19" t="n">
        <v>22100</v>
      </c>
      <c r="D23" s="27" t="n">
        <f aca="false">D22+C23</f>
        <v>44243</v>
      </c>
      <c r="E23" s="28" t="n">
        <f aca="false">D23/110000</f>
        <v>0.402209090909091</v>
      </c>
    </row>
    <row r="24" customFormat="false" ht="15" hidden="false" customHeight="false" outlineLevel="0" collapsed="false">
      <c r="A24" s="16" t="s">
        <v>122</v>
      </c>
      <c r="B24" s="26" t="s">
        <v>123</v>
      </c>
      <c r="C24" s="19" t="n">
        <v>22100</v>
      </c>
      <c r="D24" s="27" t="n">
        <f aca="false">D23+C24</f>
        <v>66343</v>
      </c>
      <c r="E24" s="28" t="n">
        <f aca="false">D24/110000</f>
        <v>0.603118181818182</v>
      </c>
    </row>
    <row r="25" customFormat="false" ht="15" hidden="false" customHeight="false" outlineLevel="0" collapsed="false">
      <c r="A25" s="16" t="s">
        <v>124</v>
      </c>
      <c r="B25" s="26" t="s">
        <v>125</v>
      </c>
      <c r="C25" s="19" t="n">
        <v>11050</v>
      </c>
      <c r="D25" s="27" t="n">
        <f aca="false">D24+C25</f>
        <v>77393</v>
      </c>
      <c r="E25" s="28" t="n">
        <f aca="false">D25/110000</f>
        <v>0.703572727272727</v>
      </c>
    </row>
    <row r="26" customFormat="false" ht="15" hidden="false" customHeight="false" outlineLevel="0" collapsed="false">
      <c r="A26" s="16" t="s">
        <v>126</v>
      </c>
      <c r="B26" s="26" t="s">
        <v>127</v>
      </c>
      <c r="C26" s="19" t="n">
        <v>11050</v>
      </c>
      <c r="D26" s="27" t="n">
        <f aca="false">D25+C26</f>
        <v>88443</v>
      </c>
      <c r="E26" s="28" t="n">
        <f aca="false">D26/110000</f>
        <v>0.804027272727273</v>
      </c>
    </row>
    <row r="27" customFormat="false" ht="15" hidden="false" customHeight="false" outlineLevel="0" collapsed="false">
      <c r="A27" s="16" t="s">
        <v>128</v>
      </c>
      <c r="B27" s="26" t="s">
        <v>48</v>
      </c>
      <c r="C27" s="19" t="n">
        <v>21700</v>
      </c>
      <c r="D27" s="27" t="n">
        <f aca="false">D26+C27</f>
        <v>110143</v>
      </c>
      <c r="E27" s="28" t="n">
        <f aca="false">D27/110000</f>
        <v>1.0013</v>
      </c>
    </row>
  </sheetData>
  <mergeCells count="4">
    <mergeCell ref="A1:E1"/>
    <mergeCell ref="A3:E3"/>
    <mergeCell ref="A8:E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7" t="s">
        <v>129</v>
      </c>
      <c r="B1" s="7"/>
      <c r="C1" s="7"/>
      <c r="D1" s="7"/>
      <c r="E1" s="7"/>
    </row>
    <row r="2" customFormat="false" ht="15" hidden="false" customHeight="false" outlineLevel="0" collapsed="false">
      <c r="A2" s="29" t="s">
        <v>130</v>
      </c>
      <c r="B2" s="29"/>
      <c r="C2" s="29"/>
      <c r="D2" s="29"/>
      <c r="E2" s="29"/>
    </row>
    <row r="4" customFormat="false" ht="15" hidden="false" customHeight="false" outlineLevel="0" collapsed="false">
      <c r="A4" s="8" t="s">
        <v>36</v>
      </c>
      <c r="B4" s="8" t="s">
        <v>131</v>
      </c>
      <c r="C4" s="8" t="s">
        <v>132</v>
      </c>
      <c r="D4" s="8" t="s">
        <v>133</v>
      </c>
      <c r="E4" s="8" t="s">
        <v>134</v>
      </c>
    </row>
    <row r="5" customFormat="false" ht="31.5" hidden="false" customHeight="true" outlineLevel="0" collapsed="false">
      <c r="A5" s="9" t="n">
        <v>1</v>
      </c>
      <c r="B5" s="10" t="s">
        <v>135</v>
      </c>
      <c r="C5" s="10" t="s">
        <v>136</v>
      </c>
      <c r="D5" s="30" t="s">
        <v>137</v>
      </c>
      <c r="E5" s="10"/>
    </row>
    <row r="6" customFormat="false" ht="31.5" hidden="false" customHeight="true" outlineLevel="0" collapsed="false">
      <c r="A6" s="9" t="n">
        <v>2</v>
      </c>
      <c r="B6" s="10" t="s">
        <v>138</v>
      </c>
      <c r="C6" s="10" t="s">
        <v>139</v>
      </c>
      <c r="D6" s="30" t="s">
        <v>137</v>
      </c>
      <c r="E6" s="10" t="s">
        <v>140</v>
      </c>
    </row>
    <row r="7" customFormat="false" ht="31.5" hidden="false" customHeight="true" outlineLevel="0" collapsed="false">
      <c r="A7" s="9" t="n">
        <v>3</v>
      </c>
      <c r="B7" s="10" t="s">
        <v>141</v>
      </c>
      <c r="C7" s="10" t="s">
        <v>142</v>
      </c>
      <c r="D7" s="30" t="s">
        <v>137</v>
      </c>
      <c r="E7" s="10" t="s">
        <v>143</v>
      </c>
    </row>
    <row r="8" customFormat="false" ht="31.5" hidden="false" customHeight="true" outlineLevel="0" collapsed="false">
      <c r="A8" s="9" t="n">
        <v>4</v>
      </c>
      <c r="B8" s="10" t="s">
        <v>144</v>
      </c>
      <c r="C8" s="10" t="s">
        <v>145</v>
      </c>
      <c r="D8" s="30" t="s">
        <v>137</v>
      </c>
      <c r="E8" s="10"/>
    </row>
    <row r="9" customFormat="false" ht="31.5" hidden="false" customHeight="true" outlineLevel="0" collapsed="false">
      <c r="A9" s="9" t="n">
        <v>5</v>
      </c>
      <c r="B9" s="10" t="s">
        <v>146</v>
      </c>
      <c r="C9" s="10" t="s">
        <v>147</v>
      </c>
      <c r="D9" s="30" t="s">
        <v>137</v>
      </c>
      <c r="E9" s="10"/>
    </row>
    <row r="10" customFormat="false" ht="31.5" hidden="false" customHeight="true" outlineLevel="0" collapsed="false">
      <c r="A10" s="9" t="n">
        <v>6</v>
      </c>
      <c r="B10" s="10" t="s">
        <v>148</v>
      </c>
      <c r="C10" s="10" t="s">
        <v>149</v>
      </c>
      <c r="D10" s="30" t="s">
        <v>137</v>
      </c>
      <c r="E10" s="10"/>
    </row>
    <row r="11" customFormat="false" ht="31.5" hidden="false" customHeight="true" outlineLevel="0" collapsed="false">
      <c r="A11" s="9" t="n">
        <v>7</v>
      </c>
      <c r="B11" s="10" t="s">
        <v>150</v>
      </c>
      <c r="C11" s="10" t="s">
        <v>151</v>
      </c>
      <c r="D11" s="30" t="s">
        <v>137</v>
      </c>
      <c r="E11" s="10" t="s">
        <v>152</v>
      </c>
    </row>
    <row r="12" customFormat="false" ht="31.5" hidden="false" customHeight="true" outlineLevel="0" collapsed="false">
      <c r="A12" s="9" t="n">
        <v>8</v>
      </c>
      <c r="B12" s="10" t="s">
        <v>153</v>
      </c>
      <c r="C12" s="10" t="s">
        <v>154</v>
      </c>
      <c r="D12" s="30" t="s">
        <v>137</v>
      </c>
      <c r="E12" s="10"/>
    </row>
    <row r="13" customFormat="false" ht="31.5" hidden="false" customHeight="true" outlineLevel="0" collapsed="false">
      <c r="A13" s="9" t="n">
        <v>9</v>
      </c>
      <c r="B13" s="10" t="s">
        <v>155</v>
      </c>
      <c r="C13" s="10" t="s">
        <v>156</v>
      </c>
      <c r="D13" s="30" t="s">
        <v>137</v>
      </c>
      <c r="E13" s="10"/>
    </row>
    <row r="14" customFormat="false" ht="31.5" hidden="false" customHeight="true" outlineLevel="0" collapsed="false">
      <c r="A14" s="9" t="n">
        <v>10</v>
      </c>
      <c r="B14" s="10" t="s">
        <v>157</v>
      </c>
      <c r="C14" s="10" t="s">
        <v>158</v>
      </c>
      <c r="D14" s="30" t="s">
        <v>137</v>
      </c>
      <c r="E14" s="10"/>
    </row>
    <row r="15" customFormat="false" ht="15" hidden="false" customHeight="false" outlineLevel="0" collapsed="false">
      <c r="A15" s="12" t="s">
        <v>159</v>
      </c>
      <c r="B15" s="3" t="str">
        <f aca="false">COUNTIF(D5:D14,"Vert")&amp;" / "&amp;COUNTA(D5:D14)</f>
        <v>0 / 10</v>
      </c>
      <c r="C15" s="31" t="s">
        <v>160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7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7" t="s">
        <v>161</v>
      </c>
      <c r="B1" s="7"/>
      <c r="C1" s="7"/>
      <c r="D1" s="7"/>
    </row>
    <row r="2" customFormat="false" ht="15" hidden="false" customHeight="false" outlineLevel="0" collapsed="false">
      <c r="A2" s="29" t="s">
        <v>162</v>
      </c>
      <c r="B2" s="29"/>
      <c r="C2" s="29"/>
      <c r="D2" s="29"/>
    </row>
    <row r="4" customFormat="false" ht="15" hidden="false" customHeight="false" outlineLevel="0" collapsed="false">
      <c r="A4" s="8" t="s">
        <v>163</v>
      </c>
      <c r="B4" s="8" t="s">
        <v>164</v>
      </c>
      <c r="C4" s="8" t="s">
        <v>165</v>
      </c>
      <c r="D4" s="8" t="s">
        <v>166</v>
      </c>
    </row>
    <row r="5" customFormat="false" ht="27.75" hidden="false" customHeight="true" outlineLevel="0" collapsed="false">
      <c r="A5" s="9" t="s">
        <v>167</v>
      </c>
      <c r="B5" s="9" t="s">
        <v>168</v>
      </c>
      <c r="C5" s="10" t="s">
        <v>169</v>
      </c>
      <c r="D5" s="9" t="s">
        <v>170</v>
      </c>
    </row>
    <row r="6" customFormat="false" ht="27.75" hidden="false" customHeight="true" outlineLevel="0" collapsed="false">
      <c r="A6" s="9" t="s">
        <v>171</v>
      </c>
      <c r="B6" s="9" t="s">
        <v>172</v>
      </c>
      <c r="C6" s="10" t="s">
        <v>173</v>
      </c>
      <c r="D6" s="9" t="s">
        <v>174</v>
      </c>
    </row>
    <row r="7" customFormat="false" ht="27.75" hidden="false" customHeight="true" outlineLevel="0" collapsed="false">
      <c r="A7" s="9" t="s">
        <v>175</v>
      </c>
      <c r="B7" s="9" t="s">
        <v>176</v>
      </c>
      <c r="C7" s="10" t="s">
        <v>177</v>
      </c>
      <c r="D7" s="9" t="s">
        <v>178</v>
      </c>
    </row>
    <row r="8" customFormat="false" ht="27.75" hidden="false" customHeight="true" outlineLevel="0" collapsed="false">
      <c r="A8" s="9" t="s">
        <v>179</v>
      </c>
      <c r="B8" s="9" t="s">
        <v>180</v>
      </c>
      <c r="C8" s="10" t="s">
        <v>181</v>
      </c>
      <c r="D8" s="9"/>
    </row>
    <row r="9" customFormat="false" ht="27.75" hidden="false" customHeight="true" outlineLevel="0" collapsed="false">
      <c r="A9" s="32" t="s">
        <v>182</v>
      </c>
      <c r="B9" s="32" t="s">
        <v>183</v>
      </c>
      <c r="C9" s="33" t="s">
        <v>184</v>
      </c>
      <c r="D9" s="32" t="s">
        <v>185</v>
      </c>
    </row>
    <row r="10" customFormat="false" ht="27.75" hidden="false" customHeight="true" outlineLevel="0" collapsed="false">
      <c r="A10" s="9" t="s">
        <v>186</v>
      </c>
      <c r="B10" s="9" t="s">
        <v>168</v>
      </c>
      <c r="C10" s="10" t="s">
        <v>187</v>
      </c>
      <c r="D10" s="9"/>
    </row>
    <row r="11" customFormat="false" ht="27.75" hidden="false" customHeight="true" outlineLevel="0" collapsed="false">
      <c r="A11" s="9" t="s">
        <v>188</v>
      </c>
      <c r="B11" s="9" t="s">
        <v>172</v>
      </c>
      <c r="C11" s="10" t="s">
        <v>189</v>
      </c>
      <c r="D11" s="9"/>
    </row>
    <row r="12" customFormat="false" ht="27.75" hidden="false" customHeight="true" outlineLevel="0" collapsed="false">
      <c r="A12" s="9" t="s">
        <v>190</v>
      </c>
      <c r="B12" s="9" t="s">
        <v>176</v>
      </c>
      <c r="C12" s="10" t="s">
        <v>191</v>
      </c>
      <c r="D12" s="9" t="s">
        <v>192</v>
      </c>
    </row>
    <row r="13" customFormat="false" ht="27.75" hidden="false" customHeight="true" outlineLevel="0" collapsed="false">
      <c r="A13" s="9" t="s">
        <v>193</v>
      </c>
      <c r="B13" s="9" t="s">
        <v>180</v>
      </c>
      <c r="C13" s="10" t="s">
        <v>194</v>
      </c>
      <c r="D13" s="9"/>
    </row>
    <row r="14" customFormat="false" ht="27.75" hidden="false" customHeight="true" outlineLevel="0" collapsed="false">
      <c r="A14" s="32" t="s">
        <v>195</v>
      </c>
      <c r="B14" s="32" t="s">
        <v>183</v>
      </c>
      <c r="C14" s="33" t="s">
        <v>196</v>
      </c>
      <c r="D14" s="32" t="s">
        <v>197</v>
      </c>
    </row>
    <row r="15" customFormat="false" ht="27.75" hidden="false" customHeight="true" outlineLevel="0" collapsed="false">
      <c r="A15" s="9" t="s">
        <v>198</v>
      </c>
      <c r="B15" s="9" t="s">
        <v>168</v>
      </c>
      <c r="C15" s="10" t="s">
        <v>199</v>
      </c>
      <c r="D15" s="9" t="s">
        <v>200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50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7" t="s">
        <v>34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36</v>
      </c>
      <c r="B3" s="8" t="s">
        <v>201</v>
      </c>
      <c r="C3" s="8" t="s">
        <v>202</v>
      </c>
      <c r="D3" s="8" t="s">
        <v>203</v>
      </c>
      <c r="E3" s="8" t="s">
        <v>204</v>
      </c>
      <c r="F3" s="8" t="s">
        <v>205</v>
      </c>
    </row>
    <row r="4" customFormat="false" ht="60" hidden="false" customHeight="true" outlineLevel="0" collapsed="false">
      <c r="A4" s="9" t="s">
        <v>206</v>
      </c>
      <c r="B4" s="10" t="s">
        <v>207</v>
      </c>
      <c r="C4" s="9" t="s">
        <v>208</v>
      </c>
      <c r="D4" s="9" t="s">
        <v>209</v>
      </c>
      <c r="E4" s="10" t="s">
        <v>210</v>
      </c>
      <c r="F4" s="10" t="s">
        <v>211</v>
      </c>
    </row>
    <row r="5" customFormat="false" ht="60" hidden="false" customHeight="true" outlineLevel="0" collapsed="false">
      <c r="A5" s="9" t="s">
        <v>212</v>
      </c>
      <c r="B5" s="10" t="s">
        <v>213</v>
      </c>
      <c r="C5" s="9" t="s">
        <v>214</v>
      </c>
      <c r="D5" s="9" t="s">
        <v>215</v>
      </c>
      <c r="E5" s="10" t="s">
        <v>216</v>
      </c>
      <c r="F5" s="10" t="s">
        <v>217</v>
      </c>
    </row>
    <row r="6" customFormat="false" ht="60" hidden="false" customHeight="true" outlineLevel="0" collapsed="false">
      <c r="A6" s="9" t="s">
        <v>218</v>
      </c>
      <c r="B6" s="10" t="s">
        <v>219</v>
      </c>
      <c r="C6" s="9" t="s">
        <v>208</v>
      </c>
      <c r="D6" s="9" t="s">
        <v>220</v>
      </c>
      <c r="E6" s="10" t="s">
        <v>221</v>
      </c>
      <c r="F6" s="10" t="s">
        <v>222</v>
      </c>
    </row>
    <row r="7" customFormat="false" ht="60" hidden="false" customHeight="true" outlineLevel="0" collapsed="false">
      <c r="A7" s="9" t="s">
        <v>223</v>
      </c>
      <c r="B7" s="10" t="s">
        <v>224</v>
      </c>
      <c r="C7" s="9" t="s">
        <v>214</v>
      </c>
      <c r="D7" s="9" t="s">
        <v>225</v>
      </c>
      <c r="E7" s="10" t="s">
        <v>226</v>
      </c>
      <c r="F7" s="10" t="s">
        <v>227</v>
      </c>
    </row>
    <row r="8" customFormat="false" ht="60" hidden="false" customHeight="true" outlineLevel="0" collapsed="false">
      <c r="A8" s="9" t="s">
        <v>228</v>
      </c>
      <c r="B8" s="10" t="s">
        <v>229</v>
      </c>
      <c r="C8" s="9" t="s">
        <v>208</v>
      </c>
      <c r="D8" s="9" t="s">
        <v>230</v>
      </c>
      <c r="E8" s="10" t="s">
        <v>231</v>
      </c>
      <c r="F8" s="10" t="s">
        <v>232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2026-04-25T08:16:48Z</dcterms:created>
  <dc:creator>openpyxl</dc:creator>
  <dc:description/>
  <dc:language>en-US</dc:language>
  <cp:lastModifiedBy/>
  <dcterms:modified xsi:type="dcterms:W3CDTF">2026-04-25T08:16:48Z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