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Ventilation" sheetId="1" state="visible" r:id="rId3"/>
    <sheet name="2-Trésorerie" sheetId="2" state="visible" r:id="rId4"/>
    <sheet name="3-Sensibilité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<sst xmlns="http://schemas.openxmlformats.org/spreadsheetml/2006/main" count="96" uniqueCount="93">
  <si>
    <t xml:space="preserve">POA v0.5 — Ventilation 110 k€</t>
  </si>
  <si>
    <t xml:space="preserve">10 semaines · 6 sprints · 5 mai → 14 juillet 2026 · ETIC Services interne</t>
  </si>
  <si>
    <t xml:space="preserve">Hypothèses globales</t>
  </si>
  <si>
    <t xml:space="preserve">TJM dev senior (€/j)</t>
  </si>
  <si>
    <t xml:space="preserve">Jours ouvrés / semaine</t>
  </si>
  <si>
    <t xml:space="preserve">Durée v0.5 (semaines)</t>
  </si>
  <si>
    <t xml:space="preserve">Provision risque (€ flat)</t>
  </si>
  <si>
    <t xml:space="preserve">Poste</t>
  </si>
  <si>
    <t xml:space="preserve">ETP</t>
  </si>
  <si>
    <t xml:space="preserve">Semaines</t>
  </si>
  <si>
    <t xml:space="preserve">TJM (€)</t>
  </si>
  <si>
    <t xml:space="preserve">Jours/sem</t>
  </si>
  <si>
    <t xml:space="preserve">Coût (€)</t>
  </si>
  <si>
    <t xml:space="preserve">% total</t>
  </si>
  <si>
    <t xml:space="preserve">Dev fullstack #1 (Node + SQL)</t>
  </si>
  <si>
    <t xml:space="preserve">Dev fullstack #2 (Node + SQL)</t>
  </si>
  <si>
    <t xml:space="preserve">Product designer DS Twisty</t>
  </si>
  <si>
    <t xml:space="preserve">PMO (coordination sprints)</t>
  </si>
  <si>
    <t xml:space="preserve">Sous-total dev</t>
  </si>
  <si>
    <t xml:space="preserve">Infra &amp; licences</t>
  </si>
  <si>
    <t xml:space="preserve">LLM Claude Sonnet 4.5 (1 ct/jour × 70 j × 1 user)</t>
  </si>
  <si>
    <t xml:space="preserve">CI GitHub Actions (Pro 2000 min inclus)</t>
  </si>
  <si>
    <t xml:space="preserve">Provision domaine + doc statique (prorata 5 k€/an)</t>
  </si>
  <si>
    <t xml:space="preserve">Sous-total infra</t>
  </si>
  <si>
    <t xml:space="preserve">Provision risque (scope creep, ≈ 3,5 % sous-total dev)</t>
  </si>
  <si>
    <t xml:space="preserve">TOTAL v0.5</t>
  </si>
  <si>
    <t xml:space="preserve">100 %</t>
  </si>
  <si>
    <t xml:space="preserve">Notes</t>
  </si>
  <si>
    <t xml:space="preserve">Sources : SPEC-TECHNIQUE-FUSION.md §13 · 08-roadmap.md §3.2bis-3.2ter · ADR 2026-04-24 Timing &amp; budget v0.5 réconciliés</t>
  </si>
  <si>
    <t xml:space="preserve">Cellules bleu = inputs hardcoded (à challenger). Cellules noires = formules. Surlignage jaune = hypothèses clés.</t>
  </si>
  <si>
    <t xml:space="preserve">Bornes : best ≈ 95 k€ / base ≈ 110 k€ / worst ≈ 134 k€. Voir onglet 3-Sensibilité.</t>
  </si>
  <si>
    <t xml:space="preserve">POA v0.5 — Trésorerie mai 2026 → avril 2027</t>
  </si>
  <si>
    <t xml:space="preserve">Décaissements mensuels v0.5 + scénario suite (V1 conditionnel)</t>
  </si>
  <si>
    <t xml:space="preserve">mai 26</t>
  </si>
  <si>
    <t xml:space="preserve">juin 26</t>
  </si>
  <si>
    <t xml:space="preserve">juil 26</t>
  </si>
  <si>
    <t xml:space="preserve">août 26</t>
  </si>
  <si>
    <t xml:space="preserve">sept 26</t>
  </si>
  <si>
    <t xml:space="preserve">oct 26</t>
  </si>
  <si>
    <t xml:space="preserve">nov 26</t>
  </si>
  <si>
    <t xml:space="preserve">déc 26</t>
  </si>
  <si>
    <t xml:space="preserve">janv 27</t>
  </si>
  <si>
    <t xml:space="preserve">févr 27</t>
  </si>
  <si>
    <t xml:space="preserve">mars 27</t>
  </si>
  <si>
    <t xml:space="preserve">avr 27</t>
  </si>
  <si>
    <t xml:space="preserve">Total 12M</t>
  </si>
  <si>
    <t xml:space="preserve">v0.5 dev (105,3 k€)</t>
  </si>
  <si>
    <t xml:space="preserve">v0.5 infra (0,9 k€)</t>
  </si>
  <si>
    <t xml:space="preserve">v0.5 provision risque (3,7 k€)</t>
  </si>
  <si>
    <t xml:space="preserve">Sous-total v0.5</t>
  </si>
  <si>
    <t xml:space="preserve">V1 dev (conditionnel, 280 k€)</t>
  </si>
  <si>
    <t xml:space="preserve">V1 infra (10 k€)</t>
  </si>
  <si>
    <t xml:space="preserve">Sous-total V1</t>
  </si>
  <si>
    <t xml:space="preserve">TOTAL décaissement</t>
  </si>
  <si>
    <t xml:space="preserve">Cumul depuis mai 26</t>
  </si>
  <si>
    <t xml:space="preserve">Décaissement mensuel = paiement freelance à terme échu (mois M+1 du travail réalisé).</t>
  </si>
  <si>
    <t xml:space="preserve">v0.5 : sprints démarrés mai. Pic juin = 2 sprints complets (43,7 k€). Juillet = sprints 5-6 + scellement (34,7 k€).</t>
  </si>
  <si>
    <t xml:space="preserve">V1 conditionnel : démarrage si GO V1 prononcé fin juillet. Provisionné pour visualisation trésorerie. Modifier B10:M11 si timing différent.</t>
  </si>
  <si>
    <t xml:space="preserve">Pic cumulé 12M ≈ 400 k€ (v0.5 + V1). Source de financement v0.5 + V1 = fonds propres ETIC ; V2+ tour externe envisagé.</t>
  </si>
  <si>
    <t xml:space="preserve">POA v0.5 — Sensibilité best / base / worst</t>
  </si>
  <si>
    <t xml:space="preserve">Tester les hypothèses : plage 95 k€ → 134 k€</t>
  </si>
  <si>
    <t xml:space="preserve">Variable</t>
  </si>
  <si>
    <t xml:space="preserve">Hypothèse</t>
  </si>
  <si>
    <t xml:space="preserve">Best</t>
  </si>
  <si>
    <t xml:space="preserve">Base</t>
  </si>
  <si>
    <t xml:space="preserve">Worst</t>
  </si>
  <si>
    <t xml:space="preserve">Durée totale (semaines)</t>
  </si>
  <si>
    <t xml:space="preserve">10 sem (base)</t>
  </si>
  <si>
    <t xml:space="preserve">ETP fullstack (2 dev)</t>
  </si>
  <si>
    <t xml:space="preserve">2,0 base</t>
  </si>
  <si>
    <t xml:space="preserve">ETP designer</t>
  </si>
  <si>
    <t xml:space="preserve">0,3 base</t>
  </si>
  <si>
    <t xml:space="preserve">ETP PMO</t>
  </si>
  <si>
    <t xml:space="preserve">TJM moyen équipe (€/j)</t>
  </si>
  <si>
    <t xml:space="preserve">900 €/j base</t>
  </si>
  <si>
    <t xml:space="preserve">Jours / semaine</t>
  </si>
  <si>
    <t xml:space="preserve">4,5 base</t>
  </si>
  <si>
    <t xml:space="preserve">Provision risque %</t>
  </si>
  <si>
    <t xml:space="preserve">3,5 % base (flat 3,7 k€)</t>
  </si>
  <si>
    <t xml:space="preserve">Infra &amp; licences (€)</t>
  </si>
  <si>
    <t xml:space="preserve">0,9 k€ base au prorata</t>
  </si>
  <si>
    <t xml:space="preserve">Calculs</t>
  </si>
  <si>
    <t xml:space="preserve">ETP total</t>
  </si>
  <si>
    <t xml:space="preserve">Coût dev (€)</t>
  </si>
  <si>
    <t xml:space="preserve">Provision risque (€)</t>
  </si>
  <si>
    <t xml:space="preserve">Infra (€)</t>
  </si>
  <si>
    <t xml:space="preserve">TOTAL scénario</t>
  </si>
  <si>
    <t xml:space="preserve">Écart vs base</t>
  </si>
  <si>
    <t xml:space="preserve">Lecture du scénario</t>
  </si>
  <si>
    <t xml:space="preserve">Best (~95 k€) : sprints 5-6 cumulés à 1,5 sem (release rapide), provision 5 %, infra contenue à 1 k€.</t>
  </si>
  <si>
    <t xml:space="preserve">Base (~110 k€) : plan nominal, équipe senior 900 €/j, 10 sem pleines, provision flat 3,7 k€.</t>
  </si>
  <si>
    <t xml:space="preserve">Worst (~134 k€) : 2 sem rattrapage Sprint 4 (chat WebSocket spike négatif), provision 5 %, +0,5 k€ infra incidents.</t>
  </si>
  <si>
    <t xml:space="preserve">Trigger ExCom mid-sprint 3 : si décaissement cumulé semaine 8 dépasse 80 k€ (≈ vers worst).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</si>
</sst>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;\(#,##0&quot; €)&quot;;\-"/>
    <numFmt numFmtId="166" formatCode="0.0"/>
    <numFmt numFmtId="167" formatCode="#,##0;\(#,##0\);\-"/>
    <numFmt numFmtId="168" formatCode="0.0%;\(0.0%\);\-"/>
    <numFmt numFmtId="169" formatCode="\+0.0%;\-0.0%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D7363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32405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E0"/>
        <bgColor rgb="FFFFFFFF"/>
      </patternFill>
    </fill>
    <fill>
      <patternFill patternType="solid">
        <fgColor rgb="FF3D7363"/>
        <bgColor rgb="FF6B7280"/>
      </patternFill>
    </fill>
    <fill>
      <patternFill patternType="solid">
        <fgColor rgb="FFF4F0E5"/>
        <bgColor rgb="FFEAF2EF"/>
      </patternFill>
    </fill>
    <fill>
      <patternFill patternType="solid">
        <fgColor rgb="FFE7E1D6"/>
        <bgColor rgb="FFF4F0E5"/>
      </patternFill>
    </fill>
    <fill>
      <patternFill patternType="solid">
        <fgColor rgb="FFEAF2EF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FE0"/>
      <rgbColor rgb="FFEAF2EF"/>
      <rgbColor rgb="FF660066"/>
      <rgbColor rgb="FFFF8080"/>
      <rgbColor rgb="FF0066CC"/>
      <rgbColor rgb="FFE7E1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D7363"/>
      <rgbColor rgb="FF003300"/>
      <rgbColor rgb="FF333300"/>
      <rgbColor rgb="FF993300"/>
      <rgbColor rgb="FF993366"/>
      <rgbColor rgb="FF333399"/>
      <rgbColor rgb="FF3240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900</v>
      </c>
    </row>
    <row r="6" customFormat="false" ht="15" hidden="false" customHeight="false" outlineLevel="0" collapsed="false">
      <c r="A6" s="4" t="s">
        <v>4</v>
      </c>
      <c r="B6" s="6" t="n">
        <v>4.5</v>
      </c>
    </row>
    <row r="7" customFormat="false" ht="15" hidden="false" customHeight="false" outlineLevel="0" collapsed="false">
      <c r="A7" s="4" t="s">
        <v>5</v>
      </c>
      <c r="B7" s="7" t="n">
        <v>10</v>
      </c>
    </row>
    <row r="8" customFormat="false" ht="15" hidden="false" customHeight="false" outlineLevel="0" collapsed="false">
      <c r="A8" s="4" t="s">
        <v>6</v>
      </c>
      <c r="B8" s="5" t="n">
        <v>3700</v>
      </c>
    </row>
    <row r="10" customFormat="false" ht="15" hidden="false" customHeight="false" outlineLevel="0" collapsed="false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</row>
    <row r="11" customFormat="false" ht="15" hidden="false" customHeight="false" outlineLevel="0" collapsed="false">
      <c r="A11" s="4" t="s">
        <v>14</v>
      </c>
      <c r="B11" s="6" t="n">
        <v>1</v>
      </c>
      <c r="C11" s="9" t="n">
        <f aca="false">B7</f>
        <v>10</v>
      </c>
      <c r="D11" s="10" t="n">
        <f aca="false">B5</f>
        <v>900</v>
      </c>
      <c r="E11" s="11" t="n">
        <f aca="false">B6</f>
        <v>4.5</v>
      </c>
      <c r="F11" s="12" t="n">
        <f aca="false">B11*C11*D11*E11</f>
        <v>40500</v>
      </c>
      <c r="G11" s="13" t="n">
        <f aca="false">F11/F24</f>
        <v>0.368513480314101</v>
      </c>
    </row>
    <row r="12" customFormat="false" ht="15" hidden="false" customHeight="false" outlineLevel="0" collapsed="false">
      <c r="A12" s="4" t="s">
        <v>15</v>
      </c>
      <c r="B12" s="6" t="n">
        <v>1</v>
      </c>
      <c r="C12" s="9" t="n">
        <f aca="false">B7</f>
        <v>10</v>
      </c>
      <c r="D12" s="10" t="n">
        <f aca="false">B5</f>
        <v>900</v>
      </c>
      <c r="E12" s="11" t="n">
        <f aca="false">B6</f>
        <v>4.5</v>
      </c>
      <c r="F12" s="12" t="n">
        <f aca="false">B12*C12*D12*E12</f>
        <v>40500</v>
      </c>
      <c r="G12" s="13" t="n">
        <f aca="false">F12/F24</f>
        <v>0.368513480314101</v>
      </c>
    </row>
    <row r="13" customFormat="false" ht="15" hidden="false" customHeight="false" outlineLevel="0" collapsed="false">
      <c r="A13" s="4" t="s">
        <v>16</v>
      </c>
      <c r="B13" s="6" t="n">
        <v>0.3</v>
      </c>
      <c r="C13" s="9" t="n">
        <f aca="false">B7</f>
        <v>10</v>
      </c>
      <c r="D13" s="10" t="n">
        <f aca="false">B5</f>
        <v>900</v>
      </c>
      <c r="E13" s="11" t="n">
        <f aca="false">B6</f>
        <v>4.5</v>
      </c>
      <c r="F13" s="12" t="n">
        <f aca="false">B13*C13*D13*E13</f>
        <v>12150</v>
      </c>
      <c r="G13" s="13" t="n">
        <f aca="false">F13/F24</f>
        <v>0.11055404409423</v>
      </c>
    </row>
    <row r="14" customFormat="false" ht="15" hidden="false" customHeight="false" outlineLevel="0" collapsed="false">
      <c r="A14" s="4" t="s">
        <v>17</v>
      </c>
      <c r="B14" s="6" t="n">
        <v>0.3</v>
      </c>
      <c r="C14" s="9" t="n">
        <f aca="false">B7</f>
        <v>10</v>
      </c>
      <c r="D14" s="10" t="n">
        <f aca="false">B5</f>
        <v>900</v>
      </c>
      <c r="E14" s="11" t="n">
        <f aca="false">B6</f>
        <v>4.5</v>
      </c>
      <c r="F14" s="12" t="n">
        <f aca="false">B14*C14*D14*E14</f>
        <v>12150</v>
      </c>
      <c r="G14" s="13" t="n">
        <f aca="false">F14/F24</f>
        <v>0.11055404409423</v>
      </c>
    </row>
    <row r="15" customFormat="false" ht="15" hidden="false" customHeight="false" outlineLevel="0" collapsed="false">
      <c r="A15" s="14" t="s">
        <v>18</v>
      </c>
      <c r="B15" s="15"/>
      <c r="C15" s="15"/>
      <c r="D15" s="15"/>
      <c r="E15" s="15"/>
      <c r="F15" s="16" t="n">
        <f aca="false">SUM(F11:F14)</f>
        <v>105300</v>
      </c>
      <c r="G15" s="17" t="n">
        <f aca="false">F15/F24</f>
        <v>0.958135048816662</v>
      </c>
    </row>
    <row r="16" customFormat="false" ht="15" hidden="false" customHeight="false" outlineLevel="0" collapsed="false">
      <c r="A16" s="3" t="s">
        <v>19</v>
      </c>
    </row>
    <row r="17" customFormat="false" ht="15" hidden="false" customHeight="false" outlineLevel="0" collapsed="false">
      <c r="A17" s="4" t="s">
        <v>20</v>
      </c>
      <c r="B17" s="18"/>
      <c r="C17" s="18"/>
      <c r="D17" s="18"/>
      <c r="E17" s="18"/>
      <c r="F17" s="19" t="n">
        <v>1</v>
      </c>
      <c r="G17" s="13" t="n">
        <f aca="false">F17/F24</f>
        <v>9.09909827936052E-006</v>
      </c>
    </row>
    <row r="18" customFormat="false" ht="15" hidden="false" customHeight="false" outlineLevel="0" collapsed="false">
      <c r="A18" s="4" t="s">
        <v>21</v>
      </c>
      <c r="B18" s="18"/>
      <c r="C18" s="18"/>
      <c r="D18" s="18"/>
      <c r="E18" s="18"/>
      <c r="F18" s="19" t="n">
        <v>0</v>
      </c>
      <c r="G18" s="13" t="n">
        <f aca="false">F18/F24</f>
        <v>0</v>
      </c>
    </row>
    <row r="19" customFormat="false" ht="15" hidden="false" customHeight="false" outlineLevel="0" collapsed="false">
      <c r="A19" s="4" t="s">
        <v>22</v>
      </c>
      <c r="B19" s="18"/>
      <c r="C19" s="18"/>
      <c r="D19" s="18"/>
      <c r="E19" s="18"/>
      <c r="F19" s="19" t="n">
        <v>900</v>
      </c>
      <c r="G19" s="13" t="n">
        <f aca="false">F19/F24</f>
        <v>0.00818918845142446</v>
      </c>
    </row>
    <row r="20" customFormat="false" ht="15" hidden="false" customHeight="false" outlineLevel="0" collapsed="false">
      <c r="A20" s="14" t="s">
        <v>23</v>
      </c>
      <c r="B20" s="15"/>
      <c r="C20" s="15"/>
      <c r="D20" s="15"/>
      <c r="E20" s="15"/>
      <c r="F20" s="16" t="n">
        <f aca="false">SUM(F17:F19)</f>
        <v>901</v>
      </c>
      <c r="G20" s="17" t="n">
        <f aca="false">F20/F24</f>
        <v>0.00819828754970382</v>
      </c>
    </row>
    <row r="22" customFormat="false" ht="15" hidden="false" customHeight="false" outlineLevel="0" collapsed="false">
      <c r="A22" s="4" t="s">
        <v>24</v>
      </c>
      <c r="B22" s="18"/>
      <c r="C22" s="18"/>
      <c r="D22" s="18"/>
      <c r="E22" s="18"/>
      <c r="F22" s="10" t="n">
        <f aca="false">B8</f>
        <v>3700</v>
      </c>
      <c r="G22" s="13" t="n">
        <f aca="false">F22/F24</f>
        <v>0.0336666636336339</v>
      </c>
    </row>
    <row r="24" customFormat="false" ht="15" hidden="false" customHeight="false" outlineLevel="0" collapsed="false">
      <c r="A24" s="20" t="s">
        <v>25</v>
      </c>
      <c r="B24" s="21"/>
      <c r="C24" s="21"/>
      <c r="D24" s="21"/>
      <c r="E24" s="21"/>
      <c r="F24" s="22" t="n">
        <f aca="false">F15+F20+F22</f>
        <v>109901</v>
      </c>
      <c r="G24" s="23" t="s">
        <v>26</v>
      </c>
    </row>
    <row r="27" customFormat="false" ht="15" hidden="false" customHeight="false" outlineLevel="0" collapsed="false">
      <c r="A27" s="3" t="s">
        <v>27</v>
      </c>
    </row>
    <row r="28" customFormat="false" ht="15" hidden="false" customHeight="true" outlineLevel="0" collapsed="false">
      <c r="A28" s="24" t="s">
        <v>28</v>
      </c>
      <c r="B28" s="24"/>
      <c r="C28" s="24"/>
      <c r="D28" s="24"/>
      <c r="E28" s="24"/>
      <c r="F28" s="24"/>
      <c r="G28" s="24"/>
    </row>
    <row r="29" customFormat="false" ht="15" hidden="false" customHeight="true" outlineLevel="0" collapsed="false">
      <c r="A29" s="24" t="s">
        <v>29</v>
      </c>
      <c r="B29" s="24"/>
      <c r="C29" s="24"/>
      <c r="D29" s="24"/>
      <c r="E29" s="24"/>
      <c r="F29" s="24"/>
      <c r="G29" s="24"/>
    </row>
    <row r="30" customFormat="false" ht="15" hidden="false" customHeight="true" outlineLevel="0" collapsed="false">
      <c r="A30" s="24" t="s">
        <v>30</v>
      </c>
      <c r="B30" s="24"/>
      <c r="C30" s="24"/>
      <c r="D30" s="24"/>
      <c r="E30" s="24"/>
      <c r="F30" s="24"/>
      <c r="G30" s="24"/>
    </row>
  </sheetData>
  <mergeCells count="5">
    <mergeCell ref="A1:G1"/>
    <mergeCell ref="A2:G2"/>
    <mergeCell ref="A28:G28"/>
    <mergeCell ref="A29:G29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4" min="2" style="0" width="12"/>
  </cols>
  <sheetData>
    <row r="1" customFormat="false" ht="19.7" hidden="false" customHeight="fals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8" t="s">
        <v>7</v>
      </c>
      <c r="B4" s="8" t="s">
        <v>33</v>
      </c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 t="s">
        <v>39</v>
      </c>
      <c r="I4" s="8" t="s">
        <v>40</v>
      </c>
      <c r="J4" s="8" t="s">
        <v>41</v>
      </c>
      <c r="K4" s="8" t="s">
        <v>42</v>
      </c>
      <c r="L4" s="8" t="s">
        <v>43</v>
      </c>
      <c r="M4" s="8" t="s">
        <v>44</v>
      </c>
      <c r="N4" s="8" t="s">
        <v>45</v>
      </c>
    </row>
    <row r="5" customFormat="false" ht="15" hidden="false" customHeight="false" outlineLevel="0" collapsed="false">
      <c r="A5" s="18" t="s">
        <v>46</v>
      </c>
      <c r="B5" s="25" t="n">
        <v>31200</v>
      </c>
      <c r="C5" s="25" t="n">
        <v>41600</v>
      </c>
      <c r="D5" s="25" t="n">
        <v>32500</v>
      </c>
      <c r="E5" s="25" t="n">
        <v>0</v>
      </c>
      <c r="F5" s="2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5" t="n">
        <v>0</v>
      </c>
      <c r="L5" s="25" t="n">
        <v>0</v>
      </c>
      <c r="M5" s="25" t="n">
        <v>0</v>
      </c>
      <c r="N5" s="16" t="n">
        <f aca="false">SUM(B5:M5)</f>
        <v>105300</v>
      </c>
    </row>
    <row r="6" customFormat="false" ht="15" hidden="false" customHeight="false" outlineLevel="0" collapsed="false">
      <c r="A6" s="18" t="s">
        <v>47</v>
      </c>
      <c r="B6" s="25" t="n">
        <v>200</v>
      </c>
      <c r="C6" s="25" t="n">
        <v>300</v>
      </c>
      <c r="D6" s="25" t="n">
        <v>401</v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  <c r="J6" s="25" t="n">
        <v>0</v>
      </c>
      <c r="K6" s="25" t="n">
        <v>0</v>
      </c>
      <c r="L6" s="25" t="n">
        <v>0</v>
      </c>
      <c r="M6" s="25" t="n">
        <v>0</v>
      </c>
      <c r="N6" s="26" t="n">
        <f aca="false">SUM(B6:M6)</f>
        <v>901</v>
      </c>
    </row>
    <row r="7" customFormat="false" ht="15" hidden="false" customHeight="false" outlineLevel="0" collapsed="false">
      <c r="A7" s="18" t="s">
        <v>48</v>
      </c>
      <c r="B7" s="25" t="n">
        <v>0</v>
      </c>
      <c r="C7" s="25" t="n">
        <v>1850</v>
      </c>
      <c r="D7" s="25" t="n">
        <v>1850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6" t="n">
        <f aca="false">SUM(B7:M7)</f>
        <v>3700</v>
      </c>
    </row>
    <row r="8" customFormat="false" ht="15" hidden="false" customHeight="false" outlineLevel="0" collapsed="false">
      <c r="A8" s="14" t="s">
        <v>49</v>
      </c>
      <c r="B8" s="16" t="n">
        <f aca="false">SUM(B5:B7)</f>
        <v>31400</v>
      </c>
      <c r="C8" s="16" t="n">
        <f aca="false">SUM(C5:C7)</f>
        <v>43750</v>
      </c>
      <c r="D8" s="16" t="n">
        <f aca="false">SUM(D5:D7)</f>
        <v>34751</v>
      </c>
      <c r="E8" s="16" t="n">
        <f aca="false">SUM(E5:E7)</f>
        <v>0</v>
      </c>
      <c r="F8" s="16" t="n">
        <f aca="false">SUM(F5:F7)</f>
        <v>0</v>
      </c>
      <c r="G8" s="16" t="n">
        <f aca="false">SUM(G5:G7)</f>
        <v>0</v>
      </c>
      <c r="H8" s="16" t="n">
        <f aca="false">SUM(H5:H7)</f>
        <v>0</v>
      </c>
      <c r="I8" s="16" t="n">
        <f aca="false">SUM(I5:I7)</f>
        <v>0</v>
      </c>
      <c r="J8" s="16" t="n">
        <f aca="false">SUM(J5:J7)</f>
        <v>0</v>
      </c>
      <c r="K8" s="16" t="n">
        <f aca="false">SUM(K5:K7)</f>
        <v>0</v>
      </c>
      <c r="L8" s="16" t="n">
        <f aca="false">SUM(L5:L7)</f>
        <v>0</v>
      </c>
      <c r="M8" s="16" t="n">
        <f aca="false">SUM(M5:M7)</f>
        <v>0</v>
      </c>
      <c r="N8" s="26" t="n">
        <f aca="false">SUM(N5:N7)</f>
        <v>109901</v>
      </c>
    </row>
    <row r="10" customFormat="false" ht="15" hidden="false" customHeight="false" outlineLevel="0" collapsed="false">
      <c r="A10" s="27" t="s">
        <v>50</v>
      </c>
      <c r="B10" s="25" t="n">
        <v>0</v>
      </c>
      <c r="C10" s="25" t="n">
        <v>0</v>
      </c>
      <c r="D10" s="25" t="n">
        <v>0</v>
      </c>
      <c r="E10" s="25" t="n">
        <v>56000</v>
      </c>
      <c r="F10" s="25" t="n">
        <v>70000</v>
      </c>
      <c r="G10" s="25" t="n">
        <v>70000</v>
      </c>
      <c r="H10" s="25" t="n">
        <v>56000</v>
      </c>
      <c r="I10" s="25" t="n">
        <v>28000</v>
      </c>
      <c r="J10" s="25" t="n">
        <v>0</v>
      </c>
      <c r="K10" s="25" t="n">
        <v>0</v>
      </c>
      <c r="L10" s="25" t="n">
        <v>0</v>
      </c>
      <c r="M10" s="25" t="n">
        <v>0</v>
      </c>
      <c r="N10" s="26" t="n">
        <f aca="false">SUM(B10:M10)</f>
        <v>280000</v>
      </c>
    </row>
    <row r="11" customFormat="false" ht="15" hidden="false" customHeight="false" outlineLevel="0" collapsed="false">
      <c r="A11" s="18" t="s">
        <v>51</v>
      </c>
      <c r="B11" s="25" t="n">
        <v>0</v>
      </c>
      <c r="C11" s="25" t="n">
        <v>0</v>
      </c>
      <c r="D11" s="25" t="n">
        <v>0</v>
      </c>
      <c r="E11" s="25" t="n">
        <v>1500</v>
      </c>
      <c r="F11" s="25" t="n">
        <v>2500</v>
      </c>
      <c r="G11" s="25" t="n">
        <v>2500</v>
      </c>
      <c r="H11" s="25" t="n">
        <v>2500</v>
      </c>
      <c r="I11" s="25" t="n">
        <v>1000</v>
      </c>
      <c r="J11" s="25" t="n">
        <v>0</v>
      </c>
      <c r="K11" s="25" t="n">
        <v>0</v>
      </c>
      <c r="L11" s="25" t="n">
        <v>0</v>
      </c>
      <c r="M11" s="25" t="n">
        <v>0</v>
      </c>
      <c r="N11" s="26" t="n">
        <f aca="false">SUM(B11:M11)</f>
        <v>10000</v>
      </c>
    </row>
    <row r="12" customFormat="false" ht="15" hidden="false" customHeight="false" outlineLevel="0" collapsed="false">
      <c r="A12" s="14" t="s">
        <v>52</v>
      </c>
      <c r="B12" s="16" t="n">
        <f aca="false">SUM(B10:B11)</f>
        <v>0</v>
      </c>
      <c r="C12" s="16" t="n">
        <f aca="false">SUM(C10:C11)</f>
        <v>0</v>
      </c>
      <c r="D12" s="16" t="n">
        <f aca="false">SUM(D10:D11)</f>
        <v>0</v>
      </c>
      <c r="E12" s="16" t="n">
        <f aca="false">SUM(E10:E11)</f>
        <v>57500</v>
      </c>
      <c r="F12" s="16" t="n">
        <f aca="false">SUM(F10:F11)</f>
        <v>72500</v>
      </c>
      <c r="G12" s="16" t="n">
        <f aca="false">SUM(G10:G11)</f>
        <v>72500</v>
      </c>
      <c r="H12" s="16" t="n">
        <f aca="false">SUM(H10:H11)</f>
        <v>58500</v>
      </c>
      <c r="I12" s="16" t="n">
        <f aca="false">SUM(I10:I11)</f>
        <v>29000</v>
      </c>
      <c r="J12" s="16" t="n">
        <f aca="false">SUM(J10:J11)</f>
        <v>0</v>
      </c>
      <c r="K12" s="16" t="n">
        <f aca="false">SUM(K10:K11)</f>
        <v>0</v>
      </c>
      <c r="L12" s="16" t="n">
        <f aca="false">SUM(L10:L11)</f>
        <v>0</v>
      </c>
      <c r="M12" s="16" t="n">
        <f aca="false">SUM(M10:M11)</f>
        <v>0</v>
      </c>
      <c r="N12" s="26" t="n">
        <f aca="false">SUM(N10:N11)</f>
        <v>290000</v>
      </c>
    </row>
    <row r="14" customFormat="false" ht="15" hidden="false" customHeight="false" outlineLevel="0" collapsed="false">
      <c r="A14" s="20" t="s">
        <v>53</v>
      </c>
      <c r="B14" s="22" t="n">
        <f aca="false">B8+B12</f>
        <v>31400</v>
      </c>
      <c r="C14" s="22" t="n">
        <f aca="false">C8+C12</f>
        <v>43750</v>
      </c>
      <c r="D14" s="22" t="n">
        <f aca="false">D8+D12</f>
        <v>34751</v>
      </c>
      <c r="E14" s="22" t="n">
        <f aca="false">E8+E12</f>
        <v>57500</v>
      </c>
      <c r="F14" s="22" t="n">
        <f aca="false">F8+F12</f>
        <v>72500</v>
      </c>
      <c r="G14" s="22" t="n">
        <f aca="false">G8+G12</f>
        <v>72500</v>
      </c>
      <c r="H14" s="22" t="n">
        <f aca="false">H8+H12</f>
        <v>58500</v>
      </c>
      <c r="I14" s="22" t="n">
        <f aca="false">I8+I12</f>
        <v>29000</v>
      </c>
      <c r="J14" s="22" t="n">
        <f aca="false">J8+J12</f>
        <v>0</v>
      </c>
      <c r="K14" s="22" t="n">
        <f aca="false">K8+K12</f>
        <v>0</v>
      </c>
      <c r="L14" s="22" t="n">
        <f aca="false">L8+L12</f>
        <v>0</v>
      </c>
      <c r="M14" s="22" t="n">
        <f aca="false">M8+M12</f>
        <v>0</v>
      </c>
      <c r="N14" s="22" t="n">
        <f aca="false">N8+N12</f>
        <v>399901</v>
      </c>
    </row>
    <row r="15" customFormat="false" ht="15" hidden="false" customHeight="false" outlineLevel="0" collapsed="false">
      <c r="A15" s="14" t="s">
        <v>54</v>
      </c>
      <c r="B15" s="16" t="n">
        <f aca="false">B14</f>
        <v>31400</v>
      </c>
      <c r="C15" s="16" t="n">
        <f aca="false">B15+C14</f>
        <v>75150</v>
      </c>
      <c r="D15" s="16" t="n">
        <f aca="false">C15+D14</f>
        <v>109901</v>
      </c>
      <c r="E15" s="16" t="n">
        <f aca="false">D15+E14</f>
        <v>167401</v>
      </c>
      <c r="F15" s="16" t="n">
        <f aca="false">E15+F14</f>
        <v>239901</v>
      </c>
      <c r="G15" s="16" t="n">
        <f aca="false">F15+G14</f>
        <v>312401</v>
      </c>
      <c r="H15" s="16" t="n">
        <f aca="false">G15+H14</f>
        <v>370901</v>
      </c>
      <c r="I15" s="16" t="n">
        <f aca="false">H15+I14</f>
        <v>399901</v>
      </c>
      <c r="J15" s="16" t="n">
        <f aca="false">I15+J14</f>
        <v>399901</v>
      </c>
      <c r="K15" s="16" t="n">
        <f aca="false">J15+K14</f>
        <v>399901</v>
      </c>
      <c r="L15" s="16" t="n">
        <f aca="false">K15+L14</f>
        <v>399901</v>
      </c>
      <c r="M15" s="16" t="n">
        <f aca="false">L15+M14</f>
        <v>399901</v>
      </c>
      <c r="N15" s="16" t="n">
        <f aca="false">M15</f>
        <v>399901</v>
      </c>
    </row>
    <row r="17" customFormat="false" ht="15" hidden="false" customHeight="false" outlineLevel="0" collapsed="false">
      <c r="A17" s="3" t="s">
        <v>27</v>
      </c>
    </row>
    <row r="18" customFormat="false" ht="15" hidden="false" customHeight="true" outlineLevel="0" collapsed="false">
      <c r="A18" s="24" t="s">
        <v>55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customFormat="false" ht="15" hidden="false" customHeight="true" outlineLevel="0" collapsed="false">
      <c r="A19" s="24" t="s">
        <v>56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customFormat="false" ht="15" hidden="false" customHeight="true" outlineLevel="0" collapsed="false">
      <c r="A20" s="24" t="s">
        <v>57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customFormat="false" ht="15" hidden="false" customHeight="true" outlineLevel="0" collapsed="false">
      <c r="A21" s="24" t="s">
        <v>58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</sheetData>
  <mergeCells count="6">
    <mergeCell ref="A1:N1"/>
    <mergeCell ref="A2:N2"/>
    <mergeCell ref="A18:N18"/>
    <mergeCell ref="A19:N19"/>
    <mergeCell ref="A20:N20"/>
    <mergeCell ref="A21: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  <col collapsed="false" customWidth="true" hidden="false" outlineLevel="0" max="5" min="3" style="0" width="14"/>
  </cols>
  <sheetData>
    <row r="1" customFormat="false" ht="19.7" hidden="false" customHeight="false" outlineLevel="0" collapsed="false">
      <c r="A1" s="1" t="s">
        <v>59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60</v>
      </c>
      <c r="B2" s="2"/>
      <c r="C2" s="2"/>
      <c r="D2" s="2"/>
      <c r="E2" s="2"/>
    </row>
    <row r="4" customFormat="false" ht="15" hidden="false" customHeight="false" outlineLevel="0" collapsed="false">
      <c r="A4" s="8" t="s">
        <v>61</v>
      </c>
      <c r="B4" s="8" t="s">
        <v>62</v>
      </c>
      <c r="C4" s="8" t="s">
        <v>63</v>
      </c>
      <c r="D4" s="8" t="s">
        <v>64</v>
      </c>
      <c r="E4" s="8" t="s">
        <v>65</v>
      </c>
    </row>
    <row r="5" customFormat="false" ht="15" hidden="false" customHeight="false" outlineLevel="0" collapsed="false">
      <c r="A5" s="4" t="s">
        <v>66</v>
      </c>
      <c r="B5" s="28" t="s">
        <v>67</v>
      </c>
      <c r="C5" s="6" t="n">
        <v>8.5</v>
      </c>
      <c r="D5" s="6" t="n">
        <v>10</v>
      </c>
      <c r="E5" s="6" t="n">
        <v>12</v>
      </c>
    </row>
    <row r="6" customFormat="false" ht="15" hidden="false" customHeight="false" outlineLevel="0" collapsed="false">
      <c r="A6" s="4" t="s">
        <v>68</v>
      </c>
      <c r="B6" s="28" t="s">
        <v>69</v>
      </c>
      <c r="C6" s="6" t="n">
        <v>2</v>
      </c>
      <c r="D6" s="6" t="n">
        <v>2</v>
      </c>
      <c r="E6" s="6" t="n">
        <v>2</v>
      </c>
    </row>
    <row r="7" customFormat="false" ht="15" hidden="false" customHeight="false" outlineLevel="0" collapsed="false">
      <c r="A7" s="4" t="s">
        <v>70</v>
      </c>
      <c r="B7" s="28" t="s">
        <v>71</v>
      </c>
      <c r="C7" s="6" t="n">
        <v>0.3</v>
      </c>
      <c r="D7" s="6" t="n">
        <v>0.3</v>
      </c>
      <c r="E7" s="6" t="n">
        <v>0.3</v>
      </c>
    </row>
    <row r="8" customFormat="false" ht="15" hidden="false" customHeight="false" outlineLevel="0" collapsed="false">
      <c r="A8" s="4" t="s">
        <v>72</v>
      </c>
      <c r="B8" s="28" t="s">
        <v>71</v>
      </c>
      <c r="C8" s="6" t="n">
        <v>0.3</v>
      </c>
      <c r="D8" s="6" t="n">
        <v>0.3</v>
      </c>
      <c r="E8" s="6" t="n">
        <v>0.3</v>
      </c>
    </row>
    <row r="9" customFormat="false" ht="15" hidden="false" customHeight="false" outlineLevel="0" collapsed="false">
      <c r="A9" s="4" t="s">
        <v>73</v>
      </c>
      <c r="B9" s="28" t="s">
        <v>74</v>
      </c>
      <c r="C9" s="5" t="n">
        <v>900</v>
      </c>
      <c r="D9" s="5" t="n">
        <v>900</v>
      </c>
      <c r="E9" s="5" t="n">
        <v>900</v>
      </c>
    </row>
    <row r="10" customFormat="false" ht="15" hidden="false" customHeight="false" outlineLevel="0" collapsed="false">
      <c r="A10" s="4" t="s">
        <v>75</v>
      </c>
      <c r="B10" s="28" t="s">
        <v>76</v>
      </c>
      <c r="C10" s="6" t="n">
        <v>4.5</v>
      </c>
      <c r="D10" s="6" t="n">
        <v>4.5</v>
      </c>
      <c r="E10" s="6" t="n">
        <v>4.5</v>
      </c>
    </row>
    <row r="11" customFormat="false" ht="15" hidden="false" customHeight="false" outlineLevel="0" collapsed="false">
      <c r="A11" s="4" t="s">
        <v>77</v>
      </c>
      <c r="B11" s="28" t="s">
        <v>78</v>
      </c>
      <c r="C11" s="29" t="n">
        <v>0.05</v>
      </c>
      <c r="D11" s="29" t="n">
        <v>0.035</v>
      </c>
      <c r="E11" s="29" t="n">
        <v>0.05</v>
      </c>
    </row>
    <row r="12" customFormat="false" ht="15" hidden="false" customHeight="false" outlineLevel="0" collapsed="false">
      <c r="A12" s="4" t="s">
        <v>79</v>
      </c>
      <c r="B12" s="28" t="s">
        <v>80</v>
      </c>
      <c r="C12" s="5" t="n">
        <v>1000</v>
      </c>
      <c r="D12" s="5" t="n">
        <v>1000</v>
      </c>
      <c r="E12" s="5" t="n">
        <v>1500</v>
      </c>
    </row>
    <row r="14" customFormat="false" ht="15" hidden="false" customHeight="false" outlineLevel="0" collapsed="false">
      <c r="A14" s="3" t="s">
        <v>81</v>
      </c>
    </row>
    <row r="15" customFormat="false" ht="15" hidden="false" customHeight="false" outlineLevel="0" collapsed="false">
      <c r="A15" s="18" t="s">
        <v>82</v>
      </c>
      <c r="B15" s="18"/>
      <c r="C15" s="11" t="n">
        <f aca="false">C6+C7+C8</f>
        <v>2.6</v>
      </c>
      <c r="D15" s="11" t="n">
        <f aca="false">D6+D7+D8</f>
        <v>2.6</v>
      </c>
      <c r="E15" s="11" t="n">
        <f aca="false">E6+E7+E8</f>
        <v>2.6</v>
      </c>
    </row>
    <row r="16" customFormat="false" ht="15" hidden="false" customHeight="false" outlineLevel="0" collapsed="false">
      <c r="A16" s="18" t="s">
        <v>83</v>
      </c>
      <c r="B16" s="18"/>
      <c r="C16" s="10" t="n">
        <f aca="false">C15*C5*C9*C10</f>
        <v>89505</v>
      </c>
      <c r="D16" s="10" t="n">
        <f aca="false">D15*D5*D9*D10</f>
        <v>105300</v>
      </c>
      <c r="E16" s="10" t="n">
        <f aca="false">E15*E5*E9*E10</f>
        <v>126360</v>
      </c>
    </row>
    <row r="17" customFormat="false" ht="15" hidden="false" customHeight="false" outlineLevel="0" collapsed="false">
      <c r="A17" s="18" t="s">
        <v>84</v>
      </c>
      <c r="B17" s="18"/>
      <c r="C17" s="10" t="n">
        <f aca="false">C16*C11</f>
        <v>4475.25</v>
      </c>
      <c r="D17" s="10" t="n">
        <f aca="false">D16*D11</f>
        <v>3685.5</v>
      </c>
      <c r="E17" s="10" t="n">
        <f aca="false">E16*E11</f>
        <v>6318</v>
      </c>
    </row>
    <row r="18" customFormat="false" ht="15" hidden="false" customHeight="false" outlineLevel="0" collapsed="false">
      <c r="A18" s="18" t="s">
        <v>85</v>
      </c>
      <c r="B18" s="18"/>
      <c r="C18" s="10" t="n">
        <f aca="false">C12</f>
        <v>1000</v>
      </c>
      <c r="D18" s="10" t="n">
        <f aca="false">D12</f>
        <v>1000</v>
      </c>
      <c r="E18" s="10" t="n">
        <f aca="false">E12</f>
        <v>1500</v>
      </c>
    </row>
    <row r="19" customFormat="false" ht="15" hidden="false" customHeight="false" outlineLevel="0" collapsed="false">
      <c r="A19" s="20" t="s">
        <v>86</v>
      </c>
      <c r="B19" s="18"/>
      <c r="C19" s="22" t="n">
        <f aca="false">C16+C17+C18</f>
        <v>94980.25</v>
      </c>
      <c r="D19" s="22" t="n">
        <f aca="false">D16+D17+D18</f>
        <v>109985.5</v>
      </c>
      <c r="E19" s="22" t="n">
        <f aca="false">E16+E17+E18</f>
        <v>134178</v>
      </c>
    </row>
    <row r="20" customFormat="false" ht="15" hidden="false" customHeight="false" outlineLevel="0" collapsed="false">
      <c r="A20" s="14" t="s">
        <v>87</v>
      </c>
      <c r="B20" s="18"/>
      <c r="C20" s="30" t="n">
        <f aca="false">(C19-D19)/D19</f>
        <v>-0.136429347504898</v>
      </c>
      <c r="D20" s="30" t="n">
        <f aca="false">(D19-D19)/D19</f>
        <v>0</v>
      </c>
      <c r="E20" s="30" t="n">
        <f aca="false">(E19-D19)/D19</f>
        <v>0.219960813016261</v>
      </c>
    </row>
    <row r="23" customFormat="false" ht="15" hidden="false" customHeight="false" outlineLevel="0" collapsed="false">
      <c r="A23" s="3" t="s">
        <v>88</v>
      </c>
    </row>
    <row r="24" customFormat="false" ht="15" hidden="false" customHeight="true" outlineLevel="0" collapsed="false">
      <c r="A24" s="24" t="s">
        <v>89</v>
      </c>
      <c r="B24" s="24"/>
      <c r="C24" s="24"/>
      <c r="D24" s="24"/>
      <c r="E24" s="24"/>
    </row>
    <row r="25" customFormat="false" ht="15" hidden="false" customHeight="true" outlineLevel="0" collapsed="false">
      <c r="A25" s="24" t="s">
        <v>90</v>
      </c>
      <c r="B25" s="24"/>
      <c r="C25" s="24"/>
      <c r="D25" s="24"/>
      <c r="E25" s="24"/>
    </row>
    <row r="26" customFormat="false" ht="15" hidden="false" customHeight="true" outlineLevel="0" collapsed="false">
      <c r="A26" s="24" t="s">
        <v>91</v>
      </c>
      <c r="B26" s="24"/>
      <c r="C26" s="24"/>
      <c r="D26" s="24"/>
      <c r="E26" s="24"/>
    </row>
    <row r="27" customFormat="false" ht="15" hidden="false" customHeight="true" outlineLevel="0" collapsed="false">
      <c r="A27" s="24" t="s">
        <v>92</v>
      </c>
      <c r="B27" s="24"/>
      <c r="C27" s="24"/>
      <c r="D27" s="24"/>
      <c r="E27" s="24"/>
    </row>
  </sheetData>
  <mergeCells count="6">
    <mergeCell ref="A1:E1"/>
    <mergeCell ref="A2:E2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2026-04-25T05:26:05Z</dcterms:created>
  <dc:creator>openpyxl</dc:creator>
  <dc:description/>
  <dc:language>en-US</dc:language>
  <cp:lastModifiedBy/>
  <dcterms:modified xsi:type="dcterms:W3CDTF">2026-04-25T05:26:05Z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