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ssues" sheetId="2" state="visible" r:id="rId4"/>
    <sheet name="Daily" sheetId="3" state="visible" r:id="rId5"/>
    <sheet name="Budget" sheetId="4" state="visible" r:id="rId6"/>
    <sheet name="Risques" sheetId="5" state="visible" r:id="rId7"/>
    <sheet name="Critères-fi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<sst xmlns="http://schemas.openxmlformats.org/spreadsheetml/2006/main" count="243" uniqueCount="197">
  <si>
    <t xml:space="preserve">POA SPRINT S4 — Pages portefeuille + Assistant chat + Polish</t>
  </si>
  <si>
    <t xml:space="preserve">Sprint</t>
  </si>
  <si>
    <t xml:space="preserve">v0.5-s4</t>
  </si>
  <si>
    <t xml:space="preserve">Période cible</t>
  </si>
  <si>
    <t xml:space="preserve">16/06 → 27/06/2026 (cible cal initial)</t>
  </si>
  <si>
    <t xml:space="preserve">Démarrable dès</t>
  </si>
  <si>
    <t xml:space="preserve">Immédiatement (gain -49 j de S3)</t>
  </si>
  <si>
    <t xml:space="preserve">Charge totale</t>
  </si>
  <si>
    <t xml:space="preserve">10,2 j-dev / 20 j capacité = 49 % marge</t>
  </si>
  <si>
    <t xml:space="preserve">Démo intermed.</t>
  </si>
  <si>
    <t xml:space="preserve">Vendredi J5 16:00 — assistant chat + groupes + projets</t>
  </si>
  <si>
    <t xml:space="preserve">Démo finale</t>
  </si>
  <si>
    <t xml:space="preserve">Vendredi J10 16:00 — 6 pages migrées + e2e vert</t>
  </si>
  <si>
    <t xml:space="preserve">Tag cible</t>
  </si>
  <si>
    <t xml:space="preserve">v0.5-s4 post-merge</t>
  </si>
  <si>
    <t xml:space="preserve">Budget S4</t>
  </si>
  <si>
    <t xml:space="preserve">22,1 k€ (idem S2/S3)</t>
  </si>
  <si>
    <t xml:space="preserve">Cumul v0.5 fin S4</t>
  </si>
  <si>
    <t xml:space="preserve">88,4 k€ / 110 k€ = 80 %</t>
  </si>
  <si>
    <t xml:space="preserve">3 piliers</t>
  </si>
  <si>
    <t xml:space="preserve">1. 5 pages back-office migrées API (groupes, projets, projet/:id, contacts, decisions)</t>
  </si>
  <si>
    <t xml:space="preserve">2. Assistant chat live (table conversations + streaming Claude SSE + frontend chat)</t>
  </si>
  <si>
    <t xml:space="preserve">3. Polish service Windows (raccourci desktop + rotation logs + INSTALL-WINDOWS.md)</t>
  </si>
  <si>
    <t xml:space="preserve">12 issues</t>
  </si>
  <si>
    <t xml:space="preserve">S4.00 ADR · S4.01-S4.02 assistant · S4.03-S4.07 5 pages · S4.08-S4.09 polish · S4.10 tests · S4.11 doc</t>
  </si>
  <si>
    <t xml:space="preserve">Source</t>
  </si>
  <si>
    <t xml:space="preserve">04_docs/DOSSIER-SPRINT-S4.md</t>
  </si>
  <si>
    <t xml:space="preserve">ID</t>
  </si>
  <si>
    <t xml:space="preserve">Titre</t>
  </si>
  <si>
    <t xml:space="preserve">Charge (j)</t>
  </si>
  <si>
    <t xml:space="preserve">Owner</t>
  </si>
  <si>
    <t xml:space="preserve">Priorité</t>
  </si>
  <si>
    <t xml:space="preserve">Type</t>
  </si>
  <si>
    <t xml:space="preserve">Statut</t>
  </si>
  <si>
    <t xml:space="preserve">Critère acceptance</t>
  </si>
  <si>
    <t xml:space="preserve">S4.00</t>
  </si>
  <si>
    <t xml:space="preserve">ADR Sprint S4 — méthode + zéro localStorage rappelé</t>
  </si>
  <si>
    <t xml:space="preserve">PMO</t>
  </si>
  <si>
    <t xml:space="preserve">P0</t>
  </si>
  <si>
    <t xml:space="preserve">adr</t>
  </si>
  <si>
    <t xml:space="preserve">à faire</t>
  </si>
  <si>
    <t xml:space="preserve">ADR mergée DECISIONS.md J1</t>
  </si>
  <si>
    <t xml:space="preserve">S4.01</t>
  </si>
  <si>
    <t xml:space="preserve">Backend assistant chat (table + POST streaming SSE)</t>
  </si>
  <si>
    <t xml:space="preserve">Dev1</t>
  </si>
  <si>
    <t xml:space="preserve">feat</t>
  </si>
  <si>
    <t xml:space="preserve">curl POST /api/assistant/messages → stream chunks</t>
  </si>
  <si>
    <t xml:space="preserve">S4.02</t>
  </si>
  <si>
    <t xml:space="preserve">Frontend assistant.html migré + chat live SSE</t>
  </si>
  <si>
    <t xml:space="preserve">Dev2</t>
  </si>
  <si>
    <t xml:space="preserve">/assistant scroll auto + reconnect</t>
  </si>
  <si>
    <t xml:space="preserve">S4.03</t>
  </si>
  <si>
    <t xml:space="preserve">Frontend groupes.html migré API</t>
  </si>
  <si>
    <t xml:space="preserve">P1</t>
  </si>
  <si>
    <t xml:space="preserve">/groupes affiche 3 cards avec counts</t>
  </si>
  <si>
    <t xml:space="preserve">S4.04</t>
  </si>
  <si>
    <t xml:space="preserve">Frontend projets.html migré API + filtre</t>
  </si>
  <si>
    <t xml:space="preserve">/projets liste + filtre dropdown groupe</t>
  </si>
  <si>
    <t xml:space="preserve">S4.05</t>
  </si>
  <si>
    <t xml:space="preserve">Frontend projet.html template commun (10 pages → 1)</t>
  </si>
  <si>
    <t xml:space="preserve">/projet?id=amani-chantier OK + 9 autres</t>
  </si>
  <si>
    <t xml:space="preserve">S4.06</t>
  </si>
  <si>
    <t xml:space="preserve">Frontend contacts.html migré API + recherche</t>
  </si>
  <si>
    <t xml:space="preserve">/contacts ?q=Sirugue retourne 1 match</t>
  </si>
  <si>
    <t xml:space="preserve">S4.07</t>
  </si>
  <si>
    <t xml:space="preserve">Frontend decisions.html migré API + IA recommend</t>
  </si>
  <si>
    <t xml:space="preserve">/decisions liste + bouton recommend Claude</t>
  </si>
  <si>
    <t xml:space="preserve">S4.08</t>
  </si>
  <si>
    <t xml:space="preserve">Raccourci desktop "Cockpit aiCEO"</t>
  </si>
  <si>
    <t xml:space="preserve">P2</t>
  </si>
  <si>
    <t xml:space="preserve">Cockpit aiCEO.lnk sur Bureau ouvre :4747</t>
  </si>
  <si>
    <t xml:space="preserve">S4.09</t>
  </si>
  <si>
    <t xml:space="preserve">Polish service Windows (logs rotation + doc install)</t>
  </si>
  <si>
    <t xml:space="preserve">improve</t>
  </si>
  <si>
    <t xml:space="preserve">INSTALL-WINDOWS.md + rotation &gt; 10 Mo</t>
  </si>
  <si>
    <t xml:space="preserve">S4.10</t>
  </si>
  <si>
    <t xml:space="preserve">Tests e2e back-office + unitaires extensions ≥ 80</t>
  </si>
  <si>
    <t xml:space="preserve">test</t>
  </si>
  <si>
    <t xml:space="preserve">npm test ≥ 80 verts</t>
  </si>
  <si>
    <t xml:space="preserve">S4.11</t>
  </si>
  <si>
    <t xml:space="preserve">Documentation API S4 + recette CEO v0.5-s4</t>
  </si>
  <si>
    <t xml:space="preserve">docs</t>
  </si>
  <si>
    <t xml:space="preserve">docs/API.md +S4 section + RECETTE-CEO-v0.5-s4.md</t>
  </si>
  <si>
    <t xml:space="preserve">TOTAL</t>
  </si>
  <si>
    <t xml:space="preserve">Jour</t>
  </si>
  <si>
    <t xml:space="preserve">Date</t>
  </si>
  <si>
    <t xml:space="preserve">Issue lead</t>
  </si>
  <si>
    <t xml:space="preserve">Activités</t>
  </si>
  <si>
    <t xml:space="preserve">Démo</t>
  </si>
  <si>
    <t xml:space="preserve">J1 lun</t>
  </si>
  <si>
    <t xml:space="preserve">16/06</t>
  </si>
  <si>
    <t xml:space="preserve">S4.00 + S4.01</t>
  </si>
  <si>
    <t xml:space="preserve">Kickoff matin (deck S4 relu binôme), ADR S4.00 commit. Backend démarre table assistant + route streaming. Frontend lit sources 01_app-web/.</t>
  </si>
  <si>
    <t xml:space="preserve">J2 mar</t>
  </si>
  <si>
    <t xml:space="preserve">17/06</t>
  </si>
  <si>
    <t xml:space="preserve">S4.01 fin → S4.02</t>
  </si>
  <si>
    <t xml:space="preserve">Streaming Claude testé, assistant.html démarre scroll + SSE.</t>
  </si>
  <si>
    <t xml:space="preserve">J3 mer</t>
  </si>
  <si>
    <t xml:space="preserve">18/06</t>
  </si>
  <si>
    <t xml:space="preserve">S4.02 fin / S4.03 + S4.04</t>
  </si>
  <si>
    <t xml:space="preserve">Chat live opérationnel. Première mesure latence p95. groupes + projets en parallèle.</t>
  </si>
  <si>
    <t xml:space="preserve">J4 jeu</t>
  </si>
  <si>
    <t xml:space="preserve">19/06</t>
  </si>
  <si>
    <t xml:space="preserve">S4.03 fin → S4.05</t>
  </si>
  <si>
    <t xml:space="preserve">Template projet.html démarre.</t>
  </si>
  <si>
    <t xml:space="preserve">J5 ven</t>
  </si>
  <si>
    <t xml:space="preserve">20/06</t>
  </si>
  <si>
    <t xml:space="preserve">S4.05 fin</t>
  </si>
  <si>
    <t xml:space="preserve">Buffer + préparation démo.</t>
  </si>
  <si>
    <t xml:space="preserve">16:00 — Démo intermédiaire (assistant + groupes + projets)</t>
  </si>
  <si>
    <t xml:space="preserve">J6 lun</t>
  </si>
  <si>
    <t xml:space="preserve">23/06</t>
  </si>
  <si>
    <t xml:space="preserve">S4.06 + S4.10</t>
  </si>
  <si>
    <t xml:space="preserve">contacts.html + tests démarrent.</t>
  </si>
  <si>
    <t xml:space="preserve">J7 mar</t>
  </si>
  <si>
    <t xml:space="preserve">24/06</t>
  </si>
  <si>
    <t xml:space="preserve">S4.07 + S4.10</t>
  </si>
  <si>
    <t xml:space="preserve">decisions.html + recommend Claude. Tests continuent.</t>
  </si>
  <si>
    <t xml:space="preserve">J8 mer</t>
  </si>
  <si>
    <t xml:space="preserve">25/06</t>
  </si>
  <si>
    <t xml:space="preserve">S4.08 + S4.09</t>
  </si>
  <si>
    <t xml:space="preserve">Raccourci desktop + polish service Windows. Tests finalisés.</t>
  </si>
  <si>
    <t xml:space="preserve">J9 jeu</t>
  </si>
  <si>
    <t xml:space="preserve">26/06</t>
  </si>
  <si>
    <t xml:space="preserve">S4.11 + buffer</t>
  </si>
  <si>
    <t xml:space="preserve">Doc API S4 + recette préparée. Buffer correctifs sur 6 pages migrées.</t>
  </si>
  <si>
    <t xml:space="preserve">J10 ven</t>
  </si>
  <si>
    <t xml:space="preserve">27/06</t>
  </si>
  <si>
    <t xml:space="preserve">Préparation tag</t>
  </si>
  <si>
    <t xml:space="preserve">Vérif e2e + smoke, préparation merge release/v0.5-s4.</t>
  </si>
  <si>
    <t xml:space="preserve">16:00 — Démo finale (6 pages + e2e vert)</t>
  </si>
  <si>
    <t xml:space="preserve">Poste</t>
  </si>
  <si>
    <t xml:space="preserve">Jours</t>
  </si>
  <si>
    <t xml:space="preserve">Taux €/j</t>
  </si>
  <si>
    <t xml:space="preserve">Coût (k€)</t>
  </si>
  <si>
    <t xml:space="preserve">Dev1 (backend + tests + service)</t>
  </si>
  <si>
    <t xml:space="preserve">Dev2 (5 pages frontend)</t>
  </si>
  <si>
    <t xml:space="preserve">PMO (ADR + doc + recette)</t>
  </si>
  <si>
    <t xml:space="preserve">Designer review</t>
  </si>
  <si>
    <t xml:space="preserve">Sous-total</t>
  </si>
  <si>
    <t xml:space="preserve">Marge contingence 10 %</t>
  </si>
  <si>
    <t xml:space="preserve">TOTAL S4</t>
  </si>
  <si>
    <t xml:space="preserve">/ 110 k€ enveloppe v0.5</t>
  </si>
  <si>
    <t xml:space="preserve">Risque</t>
  </si>
  <si>
    <t xml:space="preserve">Proba</t>
  </si>
  <si>
    <t xml:space="preserve">Impact</t>
  </si>
  <si>
    <t xml:space="preserve">Mitigation</t>
  </si>
  <si>
    <t xml:space="preserve">Déclencheur Plan B</t>
  </si>
  <si>
    <t xml:space="preserve">R1</t>
  </si>
  <si>
    <t xml:space="preserve">Streaming SSE Claude bavard / latence p95 &gt; 30 s</t>
  </si>
  <si>
    <t xml:space="preserve">Moy</t>
  </si>
  <si>
    <t xml:space="preserve">max_tokens 1500 + cap réponses + cache prompt</t>
  </si>
  <si>
    <t xml:space="preserve">dérive J3 → fallback non-streaming POST classique</t>
  </si>
  <si>
    <t xml:space="preserve">R2</t>
  </si>
  <si>
    <t xml:space="preserve">Template projet.html paramétré perd les pages legacy spécifiques</t>
  </si>
  <si>
    <t xml:space="preserve">Faible</t>
  </si>
  <si>
    <t xml:space="preserve">audit visuel J4 sur 3 projets représentatifs</t>
  </si>
  <si>
    <t xml:space="preserve">écart UI &gt; 30% → garder 2-3 pages dédiées</t>
  </si>
  <si>
    <t xml:space="preserve">R3</t>
  </si>
  <si>
    <t xml:space="preserve">Recherche ?q= contacts trop lente (LIKE plein)</t>
  </si>
  <si>
    <t xml:space="preserve">P3</t>
  </si>
  <si>
    <t xml:space="preserve">index FTS5 SQLite si besoin</t>
  </si>
  <si>
    <t xml:space="preserve">latence &gt; 500 ms → ajouter virtual table FTS5</t>
  </si>
  <si>
    <t xml:space="preserve">R4</t>
  </si>
  <si>
    <t xml:space="preserve">Raccourci desktop bloqué par GPO / antivirus ETIC</t>
  </si>
  <si>
    <t xml:space="preserve">whitelist user dossier %USERPROFILE%\Desktop</t>
  </si>
  <si>
    <t xml:space="preserve">KO → escalade IT ou page épinglée navigateur</t>
  </si>
  <si>
    <t xml:space="preserve">R5</t>
  </si>
  <si>
    <t xml:space="preserve">SSE chat se déconnecte sur Zscaler après &gt;5 min</t>
  </si>
  <si>
    <t xml:space="preserve">heartbeat 25 s déjà en place (S2.10)</t>
  </si>
  <si>
    <t xml:space="preserve">observation J6 → fallback long-polling</t>
  </si>
  <si>
    <t xml:space="preserve">#</t>
  </si>
  <si>
    <t xml:space="preserve">Critère</t>
  </si>
  <si>
    <t xml:space="preserve">Source vérification</t>
  </si>
  <si>
    <t xml:space="preserve">ADR S4.00 mergée dans DECISIONS.md avant J1</t>
  </si>
  <si>
    <t xml:space="preserve">head -10 00_BOUSSOLE/DECISIONS.md</t>
  </si>
  <si>
    <t xml:space="preserve">grep -nE "localStorage" sur 6 pages → 0 (sauf aiCEO.uiPrefs)</t>
  </si>
  <si>
    <t xml:space="preserve">grep</t>
  </si>
  <si>
    <t xml:space="preserve">curl /{assistant,groupes,projets,projet?id=...,contacts,decisions} → 6/6 HTTP 200</t>
  </si>
  <si>
    <t xml:space="preserve">smoke 1-liner</t>
  </si>
  <si>
    <t xml:space="preserve">POST /api/assistant/messages retourne stream SSE valide (chunks text + done)</t>
  </si>
  <si>
    <t xml:space="preserve">curl -N</t>
  </si>
  <si>
    <t xml:space="preserve">Latence p95 chat first-token &lt; 3 s, full-response &lt; 30 s</t>
  </si>
  <si>
    <t xml:space="preserve">mesure manuelle dogfood J3</t>
  </si>
  <si>
    <t xml:space="preserve">Recherche ?q= sur /contacts retourne résultats pertinents en &lt; 200 ms</t>
  </si>
  <si>
    <t xml:space="preserve">smoke</t>
  </si>
  <si>
    <t xml:space="preserve">Sélecteur groupe sur /projets filtre correctement (vérifié par count)</t>
  </si>
  <si>
    <t xml:space="preserve">manual</t>
  </si>
  <si>
    <t xml:space="preserve">Pages projet /projet?id=amani-chantier à /projet?id=feder toutes fonctionnelles</t>
  </si>
  <si>
    <t xml:space="preserve">smoke loop</t>
  </si>
  <si>
    <t xml:space="preserve">Raccourci desktop "Cockpit aiCEO.lnk" ouvre Edge/Chrome sur cockpit</t>
  </si>
  <si>
    <t xml:space="preserve">npm test ≥ 80 verts (≥ 5 nouveaux : assistant streaming + recommend + …)</t>
  </si>
  <si>
    <t xml:space="preserve">npm test</t>
  </si>
  <si>
    <t xml:space="preserve">Tests e2e parcours back-office (HTTP-boundary, pattern S3.07) ≥ 4 verts</t>
  </si>
  <si>
    <t xml:space="preserve">tests/e2e-backoffice.test.js</t>
  </si>
  <si>
    <t xml:space="preserve">docs/API.md enrichi de la section S4 (assistant, raccourci, polish) avec exemples curl</t>
  </si>
  <si>
    <t xml:space="preserve">wc + grep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</si>
</sst>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&quot; j&quot;"/>
    <numFmt numFmtId="166" formatCode="0.00&quot; k€&quot;"/>
    <numFmt numFmtId="167" formatCode="0.0&quot; k€&quot;"/>
    <numFmt numFmtId="168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F3C7E"/>
      <name val="Calibri"/>
      <family val="0"/>
      <charset val="1"/>
    </font>
    <font>
      <b val="true"/>
      <sz val="11"/>
      <color rgb="FF2F3C7E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3C7E"/>
        <bgColor rgb="FF333333"/>
      </patternFill>
    </fill>
    <fill>
      <patternFill patternType="solid">
        <fgColor rgb="FFF96167"/>
        <bgColor rgb="FFFF6600"/>
      </patternFill>
    </fill>
    <fill>
      <patternFill patternType="solid">
        <fgColor rgb="FFF9E795"/>
        <bgColor rgb="FFFFCC99"/>
      </patternFill>
    </fill>
    <fill>
      <patternFill patternType="solid">
        <fgColor rgb="FFFCF4D8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F4D8"/>
      <rgbColor rgb="FFCCFFFF"/>
      <rgbColor rgb="FF660066"/>
      <rgbColor rgb="FFF96167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9E79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3C7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5"/>
  </cols>
  <sheetData>
    <row r="1" customFormat="false" ht="22.05" hidden="false" customHeight="false" outlineLevel="0" collapsed="false">
      <c r="A1" s="1" t="s">
        <v>0</v>
      </c>
      <c r="B1" s="1"/>
    </row>
    <row r="3" customFormat="false" ht="18" hidden="false" customHeight="true" outlineLevel="0" collapsed="false">
      <c r="A3" s="2" t="s">
        <v>1</v>
      </c>
      <c r="B3" s="3" t="s">
        <v>2</v>
      </c>
    </row>
    <row r="4" customFormat="false" ht="18" hidden="false" customHeight="true" outlineLevel="0" collapsed="false">
      <c r="A4" s="2" t="s">
        <v>3</v>
      </c>
      <c r="B4" s="3" t="s">
        <v>4</v>
      </c>
    </row>
    <row r="5" customFormat="false" ht="18" hidden="false" customHeight="true" outlineLevel="0" collapsed="false">
      <c r="A5" s="2" t="s">
        <v>5</v>
      </c>
      <c r="B5" s="3" t="s">
        <v>6</v>
      </c>
    </row>
    <row r="6" customFormat="false" ht="18" hidden="false" customHeight="true" outlineLevel="0" collapsed="false">
      <c r="A6" s="2" t="s">
        <v>7</v>
      </c>
      <c r="B6" s="3" t="s">
        <v>8</v>
      </c>
    </row>
    <row r="7" customFormat="false" ht="18" hidden="false" customHeight="true" outlineLevel="0" collapsed="false">
      <c r="A7" s="2" t="s">
        <v>9</v>
      </c>
      <c r="B7" s="3" t="s">
        <v>10</v>
      </c>
    </row>
    <row r="8" customFormat="false" ht="18" hidden="false" customHeight="true" outlineLevel="0" collapsed="false">
      <c r="A8" s="2" t="s">
        <v>11</v>
      </c>
      <c r="B8" s="3" t="s">
        <v>12</v>
      </c>
    </row>
    <row r="9" customFormat="false" ht="18" hidden="false" customHeight="true" outlineLevel="0" collapsed="false">
      <c r="A9" s="2" t="s">
        <v>13</v>
      </c>
      <c r="B9" s="3" t="s">
        <v>14</v>
      </c>
    </row>
    <row r="10" customFormat="false" ht="18" hidden="false" customHeight="true" outlineLevel="0" collapsed="false">
      <c r="A10" s="2" t="s">
        <v>15</v>
      </c>
      <c r="B10" s="3" t="s">
        <v>16</v>
      </c>
    </row>
    <row r="11" customFormat="false" ht="18" hidden="false" customHeight="true" outlineLevel="0" collapsed="false">
      <c r="A11" s="2" t="s">
        <v>17</v>
      </c>
      <c r="B11" s="3" t="s">
        <v>18</v>
      </c>
    </row>
    <row r="12" customFormat="false" ht="18" hidden="false" customHeight="true" outlineLevel="0" collapsed="false">
      <c r="A12" s="2"/>
      <c r="B12" s="3"/>
    </row>
    <row r="13" customFormat="false" ht="24" hidden="false" customHeight="true" outlineLevel="0" collapsed="false">
      <c r="A13" s="2" t="s">
        <v>19</v>
      </c>
      <c r="B13" s="3" t="s">
        <v>20</v>
      </c>
    </row>
    <row r="14" customFormat="false" ht="24" hidden="false" customHeight="true" outlineLevel="0" collapsed="false">
      <c r="A14" s="2"/>
      <c r="B14" s="3" t="s">
        <v>21</v>
      </c>
    </row>
    <row r="15" customFormat="false" ht="24" hidden="false" customHeight="true" outlineLevel="0" collapsed="false">
      <c r="A15" s="2"/>
      <c r="B15" s="3" t="s">
        <v>22</v>
      </c>
    </row>
    <row r="16" customFormat="false" ht="18" hidden="false" customHeight="true" outlineLevel="0" collapsed="false">
      <c r="A16" s="2"/>
      <c r="B16" s="3"/>
    </row>
    <row r="17" customFormat="false" ht="24" hidden="false" customHeight="true" outlineLevel="0" collapsed="false">
      <c r="A17" s="2" t="s">
        <v>23</v>
      </c>
      <c r="B17" s="3" t="s">
        <v>24</v>
      </c>
    </row>
    <row r="18" customFormat="false" ht="18" hidden="false" customHeight="true" outlineLevel="0" collapsed="false">
      <c r="A18" s="2" t="s">
        <v>25</v>
      </c>
      <c r="B18" s="3" t="s">
        <v>26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5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7" min="5" style="0" width="10"/>
    <col collapsed="false" customWidth="true" hidden="false" outlineLevel="0" max="8" min="8" style="0" width="50"/>
  </cols>
  <sheetData>
    <row r="1" customFormat="false" ht="21.75" hidden="false" customHeight="true" outlineLevel="0" collapsed="false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</row>
    <row r="2" customFormat="false" ht="15" hidden="false" customHeight="false" outlineLevel="0" collapsed="false">
      <c r="A2" s="0" t="s">
        <v>35</v>
      </c>
      <c r="B2" s="0" t="s">
        <v>36</v>
      </c>
      <c r="C2" s="0" t="n">
        <v>0.3</v>
      </c>
      <c r="D2" s="0" t="s">
        <v>37</v>
      </c>
      <c r="E2" s="5" t="s">
        <v>38</v>
      </c>
      <c r="F2" s="0" t="s">
        <v>39</v>
      </c>
      <c r="G2" s="0" t="s">
        <v>40</v>
      </c>
      <c r="H2" s="0" t="s">
        <v>41</v>
      </c>
    </row>
    <row r="3" customFormat="false" ht="15" hidden="false" customHeight="false" outlineLevel="0" collapsed="false">
      <c r="A3" s="0" t="s">
        <v>42</v>
      </c>
      <c r="B3" s="0" t="s">
        <v>43</v>
      </c>
      <c r="C3" s="0" t="n">
        <v>1.5</v>
      </c>
      <c r="D3" s="0" t="s">
        <v>44</v>
      </c>
      <c r="E3" s="5" t="s">
        <v>38</v>
      </c>
      <c r="F3" s="0" t="s">
        <v>45</v>
      </c>
      <c r="G3" s="0" t="s">
        <v>40</v>
      </c>
      <c r="H3" s="0" t="s">
        <v>46</v>
      </c>
    </row>
    <row r="4" customFormat="false" ht="15" hidden="false" customHeight="false" outlineLevel="0" collapsed="false">
      <c r="A4" s="0" t="s">
        <v>47</v>
      </c>
      <c r="B4" s="0" t="s">
        <v>48</v>
      </c>
      <c r="C4" s="0" t="n">
        <v>1.5</v>
      </c>
      <c r="D4" s="0" t="s">
        <v>49</v>
      </c>
      <c r="E4" s="5" t="s">
        <v>38</v>
      </c>
      <c r="F4" s="0" t="s">
        <v>45</v>
      </c>
      <c r="G4" s="0" t="s">
        <v>40</v>
      </c>
      <c r="H4" s="0" t="s">
        <v>50</v>
      </c>
    </row>
    <row r="5" customFormat="false" ht="15" hidden="false" customHeight="false" outlineLevel="0" collapsed="false">
      <c r="A5" s="0" t="s">
        <v>51</v>
      </c>
      <c r="B5" s="0" t="s">
        <v>52</v>
      </c>
      <c r="C5" s="0" t="n">
        <v>1</v>
      </c>
      <c r="D5" s="0" t="s">
        <v>49</v>
      </c>
      <c r="E5" s="6" t="s">
        <v>53</v>
      </c>
      <c r="F5" s="0" t="s">
        <v>45</v>
      </c>
      <c r="G5" s="0" t="s">
        <v>40</v>
      </c>
      <c r="H5" s="0" t="s">
        <v>54</v>
      </c>
    </row>
    <row r="6" customFormat="false" ht="15" hidden="false" customHeight="false" outlineLevel="0" collapsed="false">
      <c r="A6" s="0" t="s">
        <v>55</v>
      </c>
      <c r="B6" s="0" t="s">
        <v>56</v>
      </c>
      <c r="C6" s="0" t="n">
        <v>1</v>
      </c>
      <c r="D6" s="0" t="s">
        <v>49</v>
      </c>
      <c r="E6" s="6" t="s">
        <v>53</v>
      </c>
      <c r="F6" s="0" t="s">
        <v>45</v>
      </c>
      <c r="G6" s="0" t="s">
        <v>40</v>
      </c>
      <c r="H6" s="0" t="s">
        <v>57</v>
      </c>
    </row>
    <row r="7" customFormat="false" ht="15" hidden="false" customHeight="false" outlineLevel="0" collapsed="false">
      <c r="A7" s="0" t="s">
        <v>58</v>
      </c>
      <c r="B7" s="0" t="s">
        <v>59</v>
      </c>
      <c r="C7" s="0" t="n">
        <v>1.5</v>
      </c>
      <c r="D7" s="0" t="s">
        <v>49</v>
      </c>
      <c r="E7" s="6" t="s">
        <v>53</v>
      </c>
      <c r="F7" s="0" t="s">
        <v>45</v>
      </c>
      <c r="G7" s="0" t="s">
        <v>40</v>
      </c>
      <c r="H7" s="0" t="s">
        <v>60</v>
      </c>
    </row>
    <row r="8" customFormat="false" ht="15" hidden="false" customHeight="false" outlineLevel="0" collapsed="false">
      <c r="A8" s="0" t="s">
        <v>61</v>
      </c>
      <c r="B8" s="0" t="s">
        <v>62</v>
      </c>
      <c r="C8" s="0" t="n">
        <v>1</v>
      </c>
      <c r="D8" s="0" t="s">
        <v>49</v>
      </c>
      <c r="E8" s="6" t="s">
        <v>53</v>
      </c>
      <c r="F8" s="0" t="s">
        <v>45</v>
      </c>
      <c r="G8" s="0" t="s">
        <v>40</v>
      </c>
      <c r="H8" s="0" t="s">
        <v>63</v>
      </c>
    </row>
    <row r="9" customFormat="false" ht="15" hidden="false" customHeight="false" outlineLevel="0" collapsed="false">
      <c r="A9" s="0" t="s">
        <v>64</v>
      </c>
      <c r="B9" s="0" t="s">
        <v>65</v>
      </c>
      <c r="C9" s="0" t="n">
        <v>0.8</v>
      </c>
      <c r="D9" s="0" t="s">
        <v>49</v>
      </c>
      <c r="E9" s="6" t="s">
        <v>53</v>
      </c>
      <c r="F9" s="0" t="s">
        <v>45</v>
      </c>
      <c r="G9" s="0" t="s">
        <v>40</v>
      </c>
      <c r="H9" s="0" t="s">
        <v>66</v>
      </c>
    </row>
    <row r="10" customFormat="false" ht="15" hidden="false" customHeight="false" outlineLevel="0" collapsed="false">
      <c r="A10" s="0" t="s">
        <v>67</v>
      </c>
      <c r="B10" s="0" t="s">
        <v>68</v>
      </c>
      <c r="C10" s="0" t="n">
        <v>0.3</v>
      </c>
      <c r="D10" s="0" t="s">
        <v>44</v>
      </c>
      <c r="E10" s="7" t="s">
        <v>69</v>
      </c>
      <c r="F10" s="0" t="s">
        <v>45</v>
      </c>
      <c r="G10" s="0" t="s">
        <v>40</v>
      </c>
      <c r="H10" s="0" t="s">
        <v>70</v>
      </c>
    </row>
    <row r="11" customFormat="false" ht="15" hidden="false" customHeight="false" outlineLevel="0" collapsed="false">
      <c r="A11" s="0" t="s">
        <v>71</v>
      </c>
      <c r="B11" s="0" t="s">
        <v>72</v>
      </c>
      <c r="C11" s="0" t="n">
        <v>0.8</v>
      </c>
      <c r="D11" s="0" t="s">
        <v>44</v>
      </c>
      <c r="E11" s="7" t="s">
        <v>69</v>
      </c>
      <c r="F11" s="0" t="s">
        <v>73</v>
      </c>
      <c r="G11" s="0" t="s">
        <v>40</v>
      </c>
      <c r="H11" s="0" t="s">
        <v>74</v>
      </c>
    </row>
    <row r="12" customFormat="false" ht="15" hidden="false" customHeight="false" outlineLevel="0" collapsed="false">
      <c r="A12" s="0" t="s">
        <v>75</v>
      </c>
      <c r="B12" s="0" t="s">
        <v>76</v>
      </c>
      <c r="C12" s="0" t="n">
        <v>1</v>
      </c>
      <c r="D12" s="0" t="s">
        <v>44</v>
      </c>
      <c r="E12" s="5" t="s">
        <v>38</v>
      </c>
      <c r="F12" s="0" t="s">
        <v>77</v>
      </c>
      <c r="G12" s="0" t="s">
        <v>40</v>
      </c>
      <c r="H12" s="0" t="s">
        <v>78</v>
      </c>
    </row>
    <row r="13" customFormat="false" ht="15" hidden="false" customHeight="false" outlineLevel="0" collapsed="false">
      <c r="A13" s="0" t="s">
        <v>79</v>
      </c>
      <c r="B13" s="0" t="s">
        <v>80</v>
      </c>
      <c r="C13" s="0" t="n">
        <v>0.5</v>
      </c>
      <c r="D13" s="0" t="s">
        <v>37</v>
      </c>
      <c r="E13" s="6" t="s">
        <v>53</v>
      </c>
      <c r="F13" s="0" t="s">
        <v>81</v>
      </c>
      <c r="G13" s="0" t="s">
        <v>40</v>
      </c>
      <c r="H13" s="0" t="s">
        <v>82</v>
      </c>
    </row>
    <row r="14" customFormat="false" ht="15" hidden="false" customHeight="false" outlineLevel="0" collapsed="false">
      <c r="A14" s="8" t="s">
        <v>83</v>
      </c>
      <c r="C14" s="9" t="n">
        <f aca="false">SUM(C2:C13)</f>
        <v>11.2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4" min="4" style="0" width="70"/>
    <col collapsed="false" customWidth="true" hidden="false" outlineLevel="0" max="5" min="5" style="0" width="50"/>
  </cols>
  <sheetData>
    <row r="1" customFormat="false" ht="21.75" hidden="false" customHeight="true" outlineLevel="0" collapsed="false">
      <c r="A1" s="10" t="s">
        <v>84</v>
      </c>
      <c r="B1" s="10" t="s">
        <v>85</v>
      </c>
      <c r="C1" s="10" t="s">
        <v>86</v>
      </c>
      <c r="D1" s="10" t="s">
        <v>87</v>
      </c>
      <c r="E1" s="10" t="s">
        <v>88</v>
      </c>
    </row>
    <row r="2" customFormat="false" ht="31.5" hidden="false" customHeight="true" outlineLevel="0" collapsed="false">
      <c r="A2" s="3" t="s">
        <v>89</v>
      </c>
      <c r="B2" s="3" t="s">
        <v>90</v>
      </c>
      <c r="C2" s="3" t="s">
        <v>91</v>
      </c>
      <c r="D2" s="3" t="s">
        <v>92</v>
      </c>
      <c r="E2" s="3"/>
    </row>
    <row r="3" customFormat="false" ht="31.5" hidden="false" customHeight="true" outlineLevel="0" collapsed="false">
      <c r="A3" s="3" t="s">
        <v>93</v>
      </c>
      <c r="B3" s="3" t="s">
        <v>94</v>
      </c>
      <c r="C3" s="3" t="s">
        <v>95</v>
      </c>
      <c r="D3" s="3" t="s">
        <v>96</v>
      </c>
      <c r="E3" s="3"/>
    </row>
    <row r="4" customFormat="false" ht="31.5" hidden="false" customHeight="true" outlineLevel="0" collapsed="false">
      <c r="A4" s="3" t="s">
        <v>97</v>
      </c>
      <c r="B4" s="3" t="s">
        <v>98</v>
      </c>
      <c r="C4" s="3" t="s">
        <v>99</v>
      </c>
      <c r="D4" s="3" t="s">
        <v>100</v>
      </c>
      <c r="E4" s="3"/>
    </row>
    <row r="5" customFormat="false" ht="31.5" hidden="false" customHeight="true" outlineLevel="0" collapsed="false">
      <c r="A5" s="3" t="s">
        <v>101</v>
      </c>
      <c r="B5" s="3" t="s">
        <v>102</v>
      </c>
      <c r="C5" s="3" t="s">
        <v>103</v>
      </c>
      <c r="D5" s="3" t="s">
        <v>104</v>
      </c>
      <c r="E5" s="3"/>
    </row>
    <row r="6" customFormat="false" ht="31.5" hidden="false" customHeight="true" outlineLevel="0" collapsed="false">
      <c r="A6" s="3" t="s">
        <v>105</v>
      </c>
      <c r="B6" s="3" t="s">
        <v>106</v>
      </c>
      <c r="C6" s="3" t="s">
        <v>107</v>
      </c>
      <c r="D6" s="3" t="s">
        <v>108</v>
      </c>
      <c r="E6" s="3" t="s">
        <v>109</v>
      </c>
    </row>
    <row r="7" customFormat="false" ht="31.5" hidden="false" customHeight="true" outlineLevel="0" collapsed="false">
      <c r="A7" s="3" t="s">
        <v>110</v>
      </c>
      <c r="B7" s="3" t="s">
        <v>111</v>
      </c>
      <c r="C7" s="3" t="s">
        <v>112</v>
      </c>
      <c r="D7" s="3" t="s">
        <v>113</v>
      </c>
      <c r="E7" s="3"/>
    </row>
    <row r="8" customFormat="false" ht="31.5" hidden="false" customHeight="true" outlineLevel="0" collapsed="false">
      <c r="A8" s="3" t="s">
        <v>114</v>
      </c>
      <c r="B8" s="3" t="s">
        <v>115</v>
      </c>
      <c r="C8" s="3" t="s">
        <v>116</v>
      </c>
      <c r="D8" s="3" t="s">
        <v>117</v>
      </c>
      <c r="E8" s="3"/>
    </row>
    <row r="9" customFormat="false" ht="31.5" hidden="false" customHeight="true" outlineLevel="0" collapsed="false">
      <c r="A9" s="3" t="s">
        <v>118</v>
      </c>
      <c r="B9" s="3" t="s">
        <v>119</v>
      </c>
      <c r="C9" s="3" t="s">
        <v>120</v>
      </c>
      <c r="D9" s="3" t="s">
        <v>121</v>
      </c>
      <c r="E9" s="3"/>
    </row>
    <row r="10" customFormat="false" ht="31.5" hidden="false" customHeight="true" outlineLevel="0" collapsed="false">
      <c r="A10" s="3" t="s">
        <v>122</v>
      </c>
      <c r="B10" s="3" t="s">
        <v>123</v>
      </c>
      <c r="C10" s="3" t="s">
        <v>124</v>
      </c>
      <c r="D10" s="3" t="s">
        <v>125</v>
      </c>
      <c r="E10" s="3"/>
    </row>
    <row r="11" customFormat="false" ht="31.5" hidden="false" customHeight="true" outlineLevel="0" collapsed="false">
      <c r="A11" s="3" t="s">
        <v>126</v>
      </c>
      <c r="B11" s="3" t="s">
        <v>127</v>
      </c>
      <c r="C11" s="3" t="s">
        <v>128</v>
      </c>
      <c r="D11" s="3" t="s">
        <v>129</v>
      </c>
      <c r="E11" s="3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0" t="s">
        <v>131</v>
      </c>
      <c r="B1" s="10" t="s">
        <v>132</v>
      </c>
      <c r="C1" s="10" t="s">
        <v>133</v>
      </c>
      <c r="D1" s="10" t="s">
        <v>134</v>
      </c>
    </row>
    <row r="2" customFormat="false" ht="15" hidden="false" customHeight="false" outlineLevel="0" collapsed="false">
      <c r="A2" s="0" t="s">
        <v>135</v>
      </c>
      <c r="B2" s="0" t="n">
        <v>5.3</v>
      </c>
      <c r="C2" s="0" t="n">
        <v>1050</v>
      </c>
      <c r="D2" s="11" t="n">
        <f aca="false">B2*C2/1000</f>
        <v>5.565</v>
      </c>
    </row>
    <row r="3" customFormat="false" ht="15" hidden="false" customHeight="false" outlineLevel="0" collapsed="false">
      <c r="A3" s="0" t="s">
        <v>136</v>
      </c>
      <c r="B3" s="0" t="n">
        <v>5.3</v>
      </c>
      <c r="C3" s="0" t="n">
        <v>1050</v>
      </c>
      <c r="D3" s="11" t="n">
        <f aca="false">B3*C3/1000</f>
        <v>5.565</v>
      </c>
    </row>
    <row r="4" customFormat="false" ht="15" hidden="false" customHeight="false" outlineLevel="0" collapsed="false">
      <c r="A4" s="0" t="s">
        <v>137</v>
      </c>
      <c r="B4" s="0" t="n">
        <v>0.8</v>
      </c>
      <c r="C4" s="0" t="n">
        <v>1000</v>
      </c>
      <c r="D4" s="11" t="n">
        <f aca="false">B4*C4/1000</f>
        <v>0.8</v>
      </c>
    </row>
    <row r="5" customFormat="false" ht="15" hidden="false" customHeight="false" outlineLevel="0" collapsed="false">
      <c r="A5" s="0" t="s">
        <v>138</v>
      </c>
      <c r="B5" s="0" t="n">
        <v>0.5</v>
      </c>
      <c r="C5" s="0" t="n">
        <v>1000</v>
      </c>
      <c r="D5" s="11" t="n">
        <f aca="false">B5*C5/1000</f>
        <v>0.5</v>
      </c>
    </row>
    <row r="6" customFormat="false" ht="15" hidden="false" customHeight="false" outlineLevel="0" collapsed="false">
      <c r="A6" s="8" t="s">
        <v>139</v>
      </c>
      <c r="D6" s="12" t="n">
        <f aca="false">SUM(D2:D5)</f>
        <v>12.43</v>
      </c>
    </row>
    <row r="7" customFormat="false" ht="15" hidden="false" customHeight="false" outlineLevel="0" collapsed="false">
      <c r="A7" s="13" t="s">
        <v>140</v>
      </c>
      <c r="D7" s="11" t="n">
        <f aca="false">D6*0.1</f>
        <v>1.243</v>
      </c>
    </row>
    <row r="8" customFormat="false" ht="15" hidden="false" customHeight="false" outlineLevel="0" collapsed="false">
      <c r="A8" s="14" t="s">
        <v>141</v>
      </c>
      <c r="D8" s="15" t="n">
        <f aca="false">D6+D7</f>
        <v>13.673</v>
      </c>
    </row>
    <row r="10" customFormat="false" ht="15" hidden="false" customHeight="false" outlineLevel="0" collapsed="false">
      <c r="A10" s="2" t="s">
        <v>17</v>
      </c>
      <c r="B10" s="16" t="n">
        <v>88.4</v>
      </c>
      <c r="C10" s="0" t="s">
        <v>142</v>
      </c>
      <c r="D10" s="17" t="n">
        <f aca="false">80 %</f>
        <v>0.8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4" min="3" style="0" width="8"/>
    <col collapsed="false" customWidth="true" hidden="false" outlineLevel="0" max="5" min="5" style="0" width="40"/>
    <col collapsed="false" customWidth="true" hidden="false" outlineLevel="0" max="6" min="6" style="0" width="45"/>
  </cols>
  <sheetData>
    <row r="1" customFormat="false" ht="15" hidden="false" customHeight="false" outlineLevel="0" collapsed="false">
      <c r="A1" s="10" t="s">
        <v>27</v>
      </c>
      <c r="B1" s="10" t="s">
        <v>143</v>
      </c>
      <c r="C1" s="10" t="s">
        <v>144</v>
      </c>
      <c r="D1" s="10" t="s">
        <v>145</v>
      </c>
      <c r="E1" s="10" t="s">
        <v>146</v>
      </c>
      <c r="F1" s="10" t="s">
        <v>147</v>
      </c>
    </row>
    <row r="2" customFormat="false" ht="30" hidden="false" customHeight="true" outlineLevel="0" collapsed="false">
      <c r="A2" s="3" t="s">
        <v>148</v>
      </c>
      <c r="B2" s="3" t="s">
        <v>149</v>
      </c>
      <c r="C2" s="3" t="s">
        <v>150</v>
      </c>
      <c r="D2" s="18" t="s">
        <v>53</v>
      </c>
      <c r="E2" s="3" t="s">
        <v>151</v>
      </c>
      <c r="F2" s="3" t="s">
        <v>152</v>
      </c>
    </row>
    <row r="3" customFormat="false" ht="30" hidden="false" customHeight="true" outlineLevel="0" collapsed="false">
      <c r="A3" s="3" t="s">
        <v>153</v>
      </c>
      <c r="B3" s="3" t="s">
        <v>154</v>
      </c>
      <c r="C3" s="3" t="s">
        <v>155</v>
      </c>
      <c r="D3" s="19" t="s">
        <v>69</v>
      </c>
      <c r="E3" s="3" t="s">
        <v>156</v>
      </c>
      <c r="F3" s="3" t="s">
        <v>157</v>
      </c>
    </row>
    <row r="4" customFormat="false" ht="30" hidden="false" customHeight="true" outlineLevel="0" collapsed="false">
      <c r="A4" s="3" t="s">
        <v>158</v>
      </c>
      <c r="B4" s="3" t="s">
        <v>159</v>
      </c>
      <c r="C4" s="3" t="s">
        <v>155</v>
      </c>
      <c r="D4" s="3" t="s">
        <v>160</v>
      </c>
      <c r="E4" s="3" t="s">
        <v>161</v>
      </c>
      <c r="F4" s="3" t="s">
        <v>162</v>
      </c>
    </row>
    <row r="5" customFormat="false" ht="30" hidden="false" customHeight="true" outlineLevel="0" collapsed="false">
      <c r="A5" s="3" t="s">
        <v>163</v>
      </c>
      <c r="B5" s="3" t="s">
        <v>164</v>
      </c>
      <c r="C5" s="3" t="s">
        <v>150</v>
      </c>
      <c r="D5" s="3" t="s">
        <v>160</v>
      </c>
      <c r="E5" s="3" t="s">
        <v>165</v>
      </c>
      <c r="F5" s="3" t="s">
        <v>166</v>
      </c>
    </row>
    <row r="6" customFormat="false" ht="30" hidden="false" customHeight="true" outlineLevel="0" collapsed="false">
      <c r="A6" s="3" t="s">
        <v>167</v>
      </c>
      <c r="B6" s="3" t="s">
        <v>168</v>
      </c>
      <c r="C6" s="3" t="s">
        <v>150</v>
      </c>
      <c r="D6" s="19" t="s">
        <v>69</v>
      </c>
      <c r="E6" s="3" t="s">
        <v>169</v>
      </c>
      <c r="F6" s="3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0"/>
    <col collapsed="false" customWidth="true" hidden="false" outlineLevel="0" max="3" min="3" style="0" width="35"/>
  </cols>
  <sheetData>
    <row r="1" customFormat="false" ht="15" hidden="false" customHeight="false" outlineLevel="0" collapsed="false">
      <c r="A1" s="10" t="s">
        <v>171</v>
      </c>
      <c r="B1" s="10" t="s">
        <v>172</v>
      </c>
      <c r="C1" s="10" t="s">
        <v>173</v>
      </c>
    </row>
    <row r="2" customFormat="false" ht="24" hidden="false" customHeight="true" outlineLevel="0" collapsed="false">
      <c r="A2" s="3" t="n">
        <v>1</v>
      </c>
      <c r="B2" s="3" t="s">
        <v>174</v>
      </c>
      <c r="C2" s="3" t="s">
        <v>175</v>
      </c>
    </row>
    <row r="3" customFormat="false" ht="24" hidden="false" customHeight="true" outlineLevel="0" collapsed="false">
      <c r="A3" s="3" t="n">
        <v>2</v>
      </c>
      <c r="B3" s="3" t="s">
        <v>176</v>
      </c>
      <c r="C3" s="3" t="s">
        <v>177</v>
      </c>
    </row>
    <row r="4" customFormat="false" ht="24" hidden="false" customHeight="true" outlineLevel="0" collapsed="false">
      <c r="A4" s="3" t="n">
        <v>3</v>
      </c>
      <c r="B4" s="3" t="s">
        <v>178</v>
      </c>
      <c r="C4" s="3" t="s">
        <v>179</v>
      </c>
    </row>
    <row r="5" customFormat="false" ht="24" hidden="false" customHeight="true" outlineLevel="0" collapsed="false">
      <c r="A5" s="3" t="n">
        <v>4</v>
      </c>
      <c r="B5" s="3" t="s">
        <v>180</v>
      </c>
      <c r="C5" s="3" t="s">
        <v>181</v>
      </c>
    </row>
    <row r="6" customFormat="false" ht="24" hidden="false" customHeight="true" outlineLevel="0" collapsed="false">
      <c r="A6" s="3" t="n">
        <v>5</v>
      </c>
      <c r="B6" s="3" t="s">
        <v>182</v>
      </c>
      <c r="C6" s="3" t="s">
        <v>183</v>
      </c>
    </row>
    <row r="7" customFormat="false" ht="24" hidden="false" customHeight="true" outlineLevel="0" collapsed="false">
      <c r="A7" s="3" t="n">
        <v>6</v>
      </c>
      <c r="B7" s="3" t="s">
        <v>184</v>
      </c>
      <c r="C7" s="3" t="s">
        <v>185</v>
      </c>
    </row>
    <row r="8" customFormat="false" ht="24" hidden="false" customHeight="true" outlineLevel="0" collapsed="false">
      <c r="A8" s="3" t="n">
        <v>7</v>
      </c>
      <c r="B8" s="3" t="s">
        <v>186</v>
      </c>
      <c r="C8" s="3" t="s">
        <v>187</v>
      </c>
    </row>
    <row r="9" customFormat="false" ht="24" hidden="false" customHeight="true" outlineLevel="0" collapsed="false">
      <c r="A9" s="3" t="n">
        <v>8</v>
      </c>
      <c r="B9" s="3" t="s">
        <v>188</v>
      </c>
      <c r="C9" s="3" t="s">
        <v>189</v>
      </c>
    </row>
    <row r="10" customFormat="false" ht="24" hidden="false" customHeight="true" outlineLevel="0" collapsed="false">
      <c r="A10" s="3" t="n">
        <v>9</v>
      </c>
      <c r="B10" s="3" t="s">
        <v>190</v>
      </c>
      <c r="C10" s="3" t="s">
        <v>187</v>
      </c>
    </row>
    <row r="11" customFormat="false" ht="24" hidden="false" customHeight="true" outlineLevel="0" collapsed="false">
      <c r="A11" s="3" t="n">
        <v>10</v>
      </c>
      <c r="B11" s="3" t="s">
        <v>191</v>
      </c>
      <c r="C11" s="3" t="s">
        <v>192</v>
      </c>
    </row>
    <row r="12" customFormat="false" ht="24" hidden="false" customHeight="true" outlineLevel="0" collapsed="false">
      <c r="A12" s="3" t="n">
        <v>11</v>
      </c>
      <c r="B12" s="3" t="s">
        <v>193</v>
      </c>
      <c r="C12" s="3" t="s">
        <v>194</v>
      </c>
    </row>
    <row r="13" customFormat="false" ht="24" hidden="false" customHeight="true" outlineLevel="0" collapsed="false">
      <c r="A13" s="3" t="n">
        <v>12</v>
      </c>
      <c r="B13" s="3" t="s">
        <v>195</v>
      </c>
      <c r="C13" s="3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2026-04-26T00:53:57Z</dcterms:created>
  <dc:creator>openpyxl</dc:creator>
  <dc:description/>
  <dc:language>en-US</dc:language>
  <cp:lastModifiedBy/>
  <dcterms:modified xsi:type="dcterms:W3CDTF">2026-04-26T00:53:57Z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